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1. Inputs" sheetId="2" r:id="rId5"/>
    <sheet state="visible" name="2. Outputs" sheetId="3" r:id="rId6"/>
    <sheet state="visible" name="3. Calculations" sheetId="4" r:id="rId7"/>
    <sheet state="visible" name="4. HRIS_Data" sheetId="5" r:id="rId8"/>
  </sheets>
  <definedNames/>
  <calcPr/>
  <pivotCaches>
    <pivotCache cacheId="0" r:id="rId9"/>
  </pivotCaches>
  <extLst>
    <ext uri="GoogleSheetsCustomDataVersion2">
      <go:sheetsCustomData xmlns:go="http://customooxmlschemas.google.com/" r:id="rId10" roundtripDataChecksum="6rJ1IMz1Drxn6XG8hu/YaRDbFn0BEWluZnh2fi4sT8M="/>
    </ext>
  </extLst>
</workbook>
</file>

<file path=xl/sharedStrings.xml><?xml version="1.0" encoding="utf-8"?>
<sst xmlns="http://schemas.openxmlformats.org/spreadsheetml/2006/main" count="6758" uniqueCount="2614">
  <si>
    <t>SingleSignal Headcount and Salary Cost Projections Model</t>
  </si>
  <si>
    <t>Overview</t>
  </si>
  <si>
    <t>The purpose of this model is to caclulate the projected and change in salary costs in 2026 based on the target headcount plan and current HRIS data in 2025. The headcount plan is an input to the model, while the model outputs the projected and change in salary costs for financial planning and budgeting purposes. This model is structured into 4 main worksheets. See the list below for the name and desription of each worksheet. Do not adjust any worksheets except the yellow-colored cells in the Input sheet.</t>
  </si>
  <si>
    <t>Worksheet</t>
  </si>
  <si>
    <t>Description</t>
  </si>
  <si>
    <t>1. Inputs</t>
  </si>
  <si>
    <t>Target headcount plan (Table 1A) and level composition (Table 1B) by function. Yellow-colored cells are input cells that can be adjusted/updated as needed.</t>
  </si>
  <si>
    <t>2. Outputs</t>
  </si>
  <si>
    <t>2025 actual, 2026 projected, and year-over-year change in employee salary costs by function. Do not adjust.</t>
  </si>
  <si>
    <t>3. Calculations</t>
  </si>
  <si>
    <t>Calculation steps to derive the outputs, based on inputs and HRIS data.</t>
  </si>
  <si>
    <t>4. HRIS_Data</t>
  </si>
  <si>
    <t>Raw HRIS data (2025 actuals) pulled from BambooHR. Do not adjust.</t>
  </si>
  <si>
    <t>A. Headcount Plan by Function</t>
  </si>
  <si>
    <t>Department</t>
  </si>
  <si>
    <t>Target HC</t>
  </si>
  <si>
    <t>Sales</t>
  </si>
  <si>
    <t>Customer Success</t>
  </si>
  <si>
    <t>G&amp;A</t>
  </si>
  <si>
    <t>R&amp;D</t>
  </si>
  <si>
    <t>Total</t>
  </si>
  <si>
    <t>B. Target Headcount Level Composition by Function</t>
  </si>
  <si>
    <t>% IC</t>
  </si>
  <si>
    <t>% Manager</t>
  </si>
  <si>
    <t>% Director+</t>
  </si>
  <si>
    <t>2026 Salary Cost Projections</t>
  </si>
  <si>
    <t>Function</t>
  </si>
  <si>
    <t>2025 Actual</t>
  </si>
  <si>
    <t>2026 Projected</t>
  </si>
  <si>
    <t>YoY Change ($)</t>
  </si>
  <si>
    <t>YoY Change (%)</t>
  </si>
  <si>
    <t>A. Target Headcount Structure (by Function and Level)</t>
  </si>
  <si>
    <t>IC</t>
  </si>
  <si>
    <t>Manager</t>
  </si>
  <si>
    <t>Director</t>
  </si>
  <si>
    <t>B. Average Salary by Function and Level</t>
  </si>
  <si>
    <t>C. Total Salary Cost for Target Headcount Structure</t>
  </si>
  <si>
    <t>D. Headcount by Function and Level</t>
  </si>
  <si>
    <t>D. Headcount Composition by Function and Level</t>
  </si>
  <si>
    <t>E. Average Salary by Function and Level</t>
  </si>
  <si>
    <t>F: Mapping of Job Titles to Levels, 2025 Headcount and Average Salary by Job Title</t>
  </si>
  <si>
    <t>department</t>
  </si>
  <si>
    <t>job_title</t>
  </si>
  <si>
    <t>COUNTA of first_name</t>
  </si>
  <si>
    <t>AVERAGE of salary</t>
  </si>
  <si>
    <t>Level</t>
  </si>
  <si>
    <t>CS Associate</t>
  </si>
  <si>
    <t>CS Team Lead</t>
  </si>
  <si>
    <t>Customer Success Manager</t>
  </si>
  <si>
    <t>Enterprise CSM</t>
  </si>
  <si>
    <t>Implementation Specialist</t>
  </si>
  <si>
    <t>Senior CSM</t>
  </si>
  <si>
    <t>Technical Account Manager</t>
  </si>
  <si>
    <t>VP Customer Experience</t>
  </si>
  <si>
    <t>VP Customer Success</t>
  </si>
  <si>
    <t>Chief Executive Officer</t>
  </si>
  <si>
    <t>Finance Analyst</t>
  </si>
  <si>
    <t>Finance Manager</t>
  </si>
  <si>
    <t>HR Business Partner</t>
  </si>
  <si>
    <t>HR Coordinator</t>
  </si>
  <si>
    <t>Operations Manager</t>
  </si>
  <si>
    <t>Recruiter</t>
  </si>
  <si>
    <t>Senior HR Business Partner</t>
  </si>
  <si>
    <t>Senior HRBP</t>
  </si>
  <si>
    <t>Senior Recruiter</t>
  </si>
  <si>
    <t>VP Finance</t>
  </si>
  <si>
    <t>VP People</t>
  </si>
  <si>
    <t>Chief Technology Officer</t>
  </si>
  <si>
    <t>DevOps Engineer</t>
  </si>
  <si>
    <t>Engineering Manager</t>
  </si>
  <si>
    <t>Principal Engineer</t>
  </si>
  <si>
    <t>QA Engineer</t>
  </si>
  <si>
    <t>Security Analyst</t>
  </si>
  <si>
    <t>Security Engineer</t>
  </si>
  <si>
    <t>Security Team Lead</t>
  </si>
  <si>
    <t>Senior Security Engineer</t>
  </si>
  <si>
    <t>Senior Software Engineer</t>
  </si>
  <si>
    <t>Software Engineer</t>
  </si>
  <si>
    <t>Solutions Engineer</t>
  </si>
  <si>
    <t>VP Product</t>
  </si>
  <si>
    <t>Account Executive</t>
  </si>
  <si>
    <t>BDR</t>
  </si>
  <si>
    <t>Chief Revenue Officer</t>
  </si>
  <si>
    <t>Enterprise AE</t>
  </si>
  <si>
    <t>Regional Director</t>
  </si>
  <si>
    <t>Sales Manager</t>
  </si>
  <si>
    <t>SDR</t>
  </si>
  <si>
    <t>Senior Account Executive</t>
  </si>
  <si>
    <t>G: 2025 Total Salary Costs by Function</t>
  </si>
  <si>
    <t>SUM of salary</t>
  </si>
  <si>
    <t>Grand Total</t>
  </si>
  <si>
    <t>id</t>
  </si>
  <si>
    <t>employee_number</t>
  </si>
  <si>
    <t>first_name</t>
  </si>
  <si>
    <t>last_name</t>
  </si>
  <si>
    <t>preferred_name</t>
  </si>
  <si>
    <t>middle_name</t>
  </si>
  <si>
    <t>display_name</t>
  </si>
  <si>
    <t>work_email</t>
  </si>
  <si>
    <t>home_email</t>
  </si>
  <si>
    <t>work_phone</t>
  </si>
  <si>
    <t>work_phone_extension</t>
  </si>
  <si>
    <t>mobile_phone</t>
  </si>
  <si>
    <t>address1</t>
  </si>
  <si>
    <t>address2</t>
  </si>
  <si>
    <t>city</t>
  </si>
  <si>
    <t>state</t>
  </si>
  <si>
    <t>zipcode</t>
  </si>
  <si>
    <t>country</t>
  </si>
  <si>
    <t>division</t>
  </si>
  <si>
    <t>location</t>
  </si>
  <si>
    <t>hire_date</t>
  </si>
  <si>
    <t>supervisor_id</t>
  </si>
  <si>
    <t>ssn</t>
  </si>
  <si>
    <t>date_of_birth</t>
  </si>
  <si>
    <t>gender</t>
  </si>
  <si>
    <t>marital_status</t>
  </si>
  <si>
    <t>ethnicity</t>
  </si>
  <si>
    <t>salary</t>
  </si>
  <si>
    <t>pay_rate</t>
  </si>
  <si>
    <t>pay_per</t>
  </si>
  <si>
    <t>pay_type</t>
  </si>
  <si>
    <t>pay_schedule</t>
  </si>
  <si>
    <t>photo_url</t>
  </si>
  <si>
    <t>linkedin</t>
  </si>
  <si>
    <t>EMP-0001</t>
  </si>
  <si>
    <t>Linh</t>
  </si>
  <si>
    <t>Ould Cheikh</t>
  </si>
  <si>
    <t>Grace</t>
  </si>
  <si>
    <t>Linh Ould Cheikh</t>
  </si>
  <si>
    <t>linh.ould.cheikh@singlesignal.com</t>
  </si>
  <si>
    <t>+1-415-568-6588</t>
  </si>
  <si>
    <t>+1-510-430-5679</t>
  </si>
  <si>
    <t>600 California St</t>
  </si>
  <si>
    <t>Suite 2100</t>
  </si>
  <si>
    <t>San Francisco</t>
  </si>
  <si>
    <t>CA</t>
  </si>
  <si>
    <t>United States</t>
  </si>
  <si>
    <t>Research</t>
  </si>
  <si>
    <t>San Francisco HQ</t>
  </si>
  <si>
    <t>619-18-1038</t>
  </si>
  <si>
    <t>Female</t>
  </si>
  <si>
    <t>Single</t>
  </si>
  <si>
    <t>Hispanic or Latino</t>
  </si>
  <si>
    <t>Year</t>
  </si>
  <si>
    <t>Salary</t>
  </si>
  <si>
    <t>Semi-Monthly</t>
  </si>
  <si>
    <t>https://cdn.singlesignal.com/photos/emp-0001.jpg</t>
  </si>
  <si>
    <t>https://www.linkedin.com/in/linh-ouldcheikh-1</t>
  </si>
  <si>
    <t>EMP-0002</t>
  </si>
  <si>
    <t>Biwott</t>
  </si>
  <si>
    <t>Castillo</t>
  </si>
  <si>
    <t>Rose</t>
  </si>
  <si>
    <t>Biwott Castillo</t>
  </si>
  <si>
    <t>biwott.castillo@singlesignal.com</t>
  </si>
  <si>
    <t>+1-206-367-6005</t>
  </si>
  <si>
    <t>+1-404-216-4521</t>
  </si>
  <si>
    <t>1510 Blake St</t>
  </si>
  <si>
    <t>Denver</t>
  </si>
  <si>
    <t>CO</t>
  </si>
  <si>
    <t>Product</t>
  </si>
  <si>
    <t>Remote - USA</t>
  </si>
  <si>
    <t>136-64-7895</t>
  </si>
  <si>
    <t>Male</t>
  </si>
  <si>
    <t>https://cdn.singlesignal.com/photos/emp-0002.jpg</t>
  </si>
  <si>
    <t>https://www.linkedin.com/in/biwott-castillo-2</t>
  </si>
  <si>
    <t>EMP-0003</t>
  </si>
  <si>
    <t>Joyce</t>
  </si>
  <si>
    <t>Shihab</t>
  </si>
  <si>
    <t>Joyce Shihab</t>
  </si>
  <si>
    <t>joyce.shihab@singlesignal.com</t>
  </si>
  <si>
    <t>+353-1-2024556</t>
  </si>
  <si>
    <t>+353-87-2634791</t>
  </si>
  <si>
    <t>One Spencer Dock</t>
  </si>
  <si>
    <t>Dublin</t>
  </si>
  <si>
    <t>Leinster</t>
  </si>
  <si>
    <t>D01 X9R7</t>
  </si>
  <si>
    <t>Ireland</t>
  </si>
  <si>
    <t>Dublin - EMEA Hub</t>
  </si>
  <si>
    <t>580-51-6195</t>
  </si>
  <si>
    <t>Married</t>
  </si>
  <si>
    <t>Asian</t>
  </si>
  <si>
    <t>https://cdn.singlesignal.com/photos/emp-0003.jpg</t>
  </si>
  <si>
    <t>https://www.linkedin.com/in/joyce-shihab-3</t>
  </si>
  <si>
    <t>EMP-0004</t>
  </si>
  <si>
    <t>Rodrigues</t>
  </si>
  <si>
    <t>Alexander</t>
  </si>
  <si>
    <t>Grace Rodrigues</t>
  </si>
  <si>
    <t>grace.rodrigues@singlesignal.com</t>
  </si>
  <si>
    <t>+1-646-349-6373</t>
  </si>
  <si>
    <t>+1-425-813-6340</t>
  </si>
  <si>
    <t>111 8th Ave</t>
  </si>
  <si>
    <t>Floor 5</t>
  </si>
  <si>
    <t>New York</t>
  </si>
  <si>
    <t>NY</t>
  </si>
  <si>
    <t>New York - East Coast Hub</t>
  </si>
  <si>
    <t>829-92-7704</t>
  </si>
  <si>
    <t>White</t>
  </si>
  <si>
    <t>https://cdn.singlesignal.com/photos/emp-0004.jpg</t>
  </si>
  <si>
    <t>https://www.linkedin.com/in/grace-rodrigues-4</t>
  </si>
  <si>
    <t>EMP-0005</t>
  </si>
  <si>
    <t>Alfredo</t>
  </si>
  <si>
    <t>Delgado</t>
  </si>
  <si>
    <t>Jean</t>
  </si>
  <si>
    <t>Alfredo Delgado</t>
  </si>
  <si>
    <t>alfredo.delgado@singlesignal.com</t>
  </si>
  <si>
    <t>+1-415-890-6103</t>
  </si>
  <si>
    <t>+1-404-355-8624</t>
  </si>
  <si>
    <t>525 Market St</t>
  </si>
  <si>
    <t>Suite 2300</t>
  </si>
  <si>
    <t>307-96-1759</t>
  </si>
  <si>
    <t>Two or More Races</t>
  </si>
  <si>
    <t>https://cdn.singlesignal.com/photos/emp-0005.jpg</t>
  </si>
  <si>
    <t>https://www.linkedin.com/in/alfredo-delgado-5</t>
  </si>
  <si>
    <t>EMP-0006</t>
  </si>
  <si>
    <t>Hakim</t>
  </si>
  <si>
    <t>Ahonon</t>
  </si>
  <si>
    <t>Marie</t>
  </si>
  <si>
    <t>Hakim Ahonon</t>
  </si>
  <si>
    <t>hakim.ahonon@singlesignal.com</t>
  </si>
  <si>
    <t>+1-415-852-7101</t>
  </si>
  <si>
    <t>+1-510-313-1625</t>
  </si>
  <si>
    <t>1 Montgomery St</t>
  </si>
  <si>
    <t>Floor 16</t>
  </si>
  <si>
    <t>317-55-3981</t>
  </si>
  <si>
    <t>Divorced</t>
  </si>
  <si>
    <t>https://cdn.singlesignal.com/photos/emp-0006.jpg</t>
  </si>
  <si>
    <t>https://www.linkedin.com/in/hakim-ahonon-6</t>
  </si>
  <si>
    <t>EMP-0007</t>
  </si>
  <si>
    <t>Rungnapa</t>
  </si>
  <si>
    <t>Mouanda</t>
  </si>
  <si>
    <t>James</t>
  </si>
  <si>
    <t>Rungnapa Mouanda</t>
  </si>
  <si>
    <t>rungnapa.mouanda@singlesignal.com</t>
  </si>
  <si>
    <t>+1-415-645-3003</t>
  </si>
  <si>
    <t>+1-404-699-8694</t>
  </si>
  <si>
    <t>Engineering</t>
  </si>
  <si>
    <t>481-70-8666</t>
  </si>
  <si>
    <t>https://cdn.singlesignal.com/photos/emp-0007.jpg</t>
  </si>
  <si>
    <t>https://www.linkedin.com/in/rungnapa-mouanda-7</t>
  </si>
  <si>
    <t>EMP-0008</t>
  </si>
  <si>
    <t>Radoslav</t>
  </si>
  <si>
    <t>Oyella</t>
  </si>
  <si>
    <t>Radoslav Oyella</t>
  </si>
  <si>
    <t>radoslav.oyella@singlesignal.com</t>
  </si>
  <si>
    <t>+1-415-421-8716</t>
  </si>
  <si>
    <t>+1-510-325-7928</t>
  </si>
  <si>
    <t>1355 Market St</t>
  </si>
  <si>
    <t>Floor 10</t>
  </si>
  <si>
    <t>364-44-6514</t>
  </si>
  <si>
    <t>https://cdn.singlesignal.com/photos/emp-0008.jpg</t>
  </si>
  <si>
    <t>https://www.linkedin.com/in/radoslav-oyella-8</t>
  </si>
  <si>
    <t>EMP-0009</t>
  </si>
  <si>
    <t>Bernardo</t>
  </si>
  <si>
    <t>Nurme</t>
  </si>
  <si>
    <t>Ann</t>
  </si>
  <si>
    <t>Bernardo Nurme</t>
  </si>
  <si>
    <t>bernardo.nurme@singlesignal.com</t>
  </si>
  <si>
    <t>+1-646-277-7887</t>
  </si>
  <si>
    <t>+1-408-349-2479</t>
  </si>
  <si>
    <t>130 5th Ave</t>
  </si>
  <si>
    <t>Floor 4</t>
  </si>
  <si>
    <t>148-79-7811</t>
  </si>
  <si>
    <t>Non-Binary</t>
  </si>
  <si>
    <t>Monthly</t>
  </si>
  <si>
    <t>https://cdn.singlesignal.com/photos/emp-0009.jpg</t>
  </si>
  <si>
    <t>https://www.linkedin.com/in/bernardo-nurme-9</t>
  </si>
  <si>
    <t>EMP-0010</t>
  </si>
  <si>
    <t>Moa</t>
  </si>
  <si>
    <t>Teuatabo</t>
  </si>
  <si>
    <t>Kai</t>
  </si>
  <si>
    <t>Moa Teuatabo</t>
  </si>
  <si>
    <t>moa.teuatabo@singlesignal.com</t>
  </si>
  <si>
    <t>+1-305-229-6957</t>
  </si>
  <si>
    <t>+1-408-880-6258</t>
  </si>
  <si>
    <t>3410 NE 3rd Ave</t>
  </si>
  <si>
    <t>Seattle</t>
  </si>
  <si>
    <t>WA</t>
  </si>
  <si>
    <t>581-59-8922</t>
  </si>
  <si>
    <t>Prefer Not to Say</t>
  </si>
  <si>
    <t>https://cdn.singlesignal.com/photos/emp-0010.jpg</t>
  </si>
  <si>
    <t>https://www.linkedin.com/in/moa-teuatabo-10</t>
  </si>
  <si>
    <t>EMP-0011</t>
  </si>
  <si>
    <t>Sarah</t>
  </si>
  <si>
    <t>Rodriguez</t>
  </si>
  <si>
    <t>Sarah Rodriguez</t>
  </si>
  <si>
    <t>sarah.rodriguez@singlesignal.com</t>
  </si>
  <si>
    <t>+353-1-2235180</t>
  </si>
  <si>
    <t>+353-87-2715407</t>
  </si>
  <si>
    <t>10 Hanover Quay</t>
  </si>
  <si>
    <t>D02 X5W7</t>
  </si>
  <si>
    <t>123-72-2715</t>
  </si>
  <si>
    <t>Black or African American</t>
  </si>
  <si>
    <t>Bi-Weekly</t>
  </si>
  <si>
    <t>https://cdn.singlesignal.com/photos/emp-0011.jpg</t>
  </si>
  <si>
    <t>https://www.linkedin.com/in/sarah-rodriguez-11</t>
  </si>
  <si>
    <t>EMP-0012</t>
  </si>
  <si>
    <t>Ludmiła</t>
  </si>
  <si>
    <t>Selim</t>
  </si>
  <si>
    <t>Ludmiła Selim</t>
  </si>
  <si>
    <t>ludmiła.selim@singlesignal.com</t>
  </si>
  <si>
    <t>+1-415-602-2267</t>
  </si>
  <si>
    <t>+1-408-458-3976</t>
  </si>
  <si>
    <t>251-80-2745</t>
  </si>
  <si>
    <t>Widowed</t>
  </si>
  <si>
    <t>https://cdn.singlesignal.com/photos/emp-0012.jpg</t>
  </si>
  <si>
    <t>https://www.linkedin.com/in/ludmia-selim-12</t>
  </si>
  <si>
    <t>EMP-0013</t>
  </si>
  <si>
    <t>Teresa</t>
  </si>
  <si>
    <t>Sisouvong</t>
  </si>
  <si>
    <t>Teresa Sisouvong</t>
  </si>
  <si>
    <t>teresa.sisouvong@singlesignal.com</t>
  </si>
  <si>
    <t>+1-646-368-1580</t>
  </si>
  <si>
    <t>+1-404-308-7924</t>
  </si>
  <si>
    <t>1 World Trade Center</t>
  </si>
  <si>
    <t>Floor 74</t>
  </si>
  <si>
    <t>653-16-6066</t>
  </si>
  <si>
    <t>https://cdn.singlesignal.com/photos/emp-0013.jpg</t>
  </si>
  <si>
    <t>https://www.linkedin.com/in/teresa-sisouvong-13</t>
  </si>
  <si>
    <t>EMP-0014</t>
  </si>
  <si>
    <t>Alan</t>
  </si>
  <si>
    <t>Mema</t>
  </si>
  <si>
    <t>Alan Mema</t>
  </si>
  <si>
    <t>alan.mema@singlesignal.com</t>
  </si>
  <si>
    <t>+1-415-644-6683</t>
  </si>
  <si>
    <t>+1-510-934-6842</t>
  </si>
  <si>
    <t>810-64-3700</t>
  </si>
  <si>
    <t>https://cdn.singlesignal.com/photos/emp-0014.jpg</t>
  </si>
  <si>
    <t>https://www.linkedin.com/in/alan-mema-14</t>
  </si>
  <si>
    <t>EMP-0015</t>
  </si>
  <si>
    <t>Kareena</t>
  </si>
  <si>
    <t>Chu</t>
  </si>
  <si>
    <t>Kareena Chu</t>
  </si>
  <si>
    <t>kareena.chu@singlesignal.com</t>
  </si>
  <si>
    <t>+1-415-746-7323</t>
  </si>
  <si>
    <t>+1-720-278-9605</t>
  </si>
  <si>
    <t>803-60-2931</t>
  </si>
  <si>
    <t>https://cdn.singlesignal.com/photos/emp-0015.jpg</t>
  </si>
  <si>
    <t>https://www.linkedin.com/in/kareena-chu-15</t>
  </si>
  <si>
    <t>EMP-0016</t>
  </si>
  <si>
    <t>Lamia</t>
  </si>
  <si>
    <t>Situmorang</t>
  </si>
  <si>
    <t>Lamia Situmorang</t>
  </si>
  <si>
    <t>lamia.situmorang@singlesignal.com</t>
  </si>
  <si>
    <t>+353-1-2283460</t>
  </si>
  <si>
    <t>+353-87-2102837</t>
  </si>
  <si>
    <t>Grand Canal Dock, 2 Dublin Landings</t>
  </si>
  <si>
    <t>D01 V4A3</t>
  </si>
  <si>
    <t>865-93-9841</t>
  </si>
  <si>
    <t>https://cdn.singlesignal.com/photos/emp-0016.jpg</t>
  </si>
  <si>
    <t>https://www.linkedin.com/in/lamia-situmorang-16</t>
  </si>
  <si>
    <t>EMP-0017</t>
  </si>
  <si>
    <t>Isabella</t>
  </si>
  <si>
    <t>Touati</t>
  </si>
  <si>
    <t>Isabella Touati</t>
  </si>
  <si>
    <t>isabella.touati@singlesignal.com</t>
  </si>
  <si>
    <t>+1-415-474-4302</t>
  </si>
  <si>
    <t>+1-408-447-1679</t>
  </si>
  <si>
    <t>194-15-4388</t>
  </si>
  <si>
    <t>https://cdn.singlesignal.com/photos/emp-0017.jpg</t>
  </si>
  <si>
    <t>https://www.linkedin.com/in/isabella-touati-17</t>
  </si>
  <si>
    <t>EMP-0018</t>
  </si>
  <si>
    <t>Zhong</t>
  </si>
  <si>
    <t>Nyein</t>
  </si>
  <si>
    <t>Zhong Nyein</t>
  </si>
  <si>
    <t>zhong.nyein@singlesignal.com</t>
  </si>
  <si>
    <t>+1-646-550-5783</t>
  </si>
  <si>
    <t>+1-425-501-6350</t>
  </si>
  <si>
    <t>353-38-5224</t>
  </si>
  <si>
    <t>https://cdn.singlesignal.com/photos/emp-0018.jpg</t>
  </si>
  <si>
    <t>https://www.linkedin.com/in/zhong-nyein-18</t>
  </si>
  <si>
    <t>EMP-0019</t>
  </si>
  <si>
    <t>Bekzat</t>
  </si>
  <si>
    <t>Belleville</t>
  </si>
  <si>
    <t>Michael</t>
  </si>
  <si>
    <t>Bekzat Belleville</t>
  </si>
  <si>
    <t>bekzat.belleville@singlesignal.com</t>
  </si>
  <si>
    <t>+1-646-289-1368</t>
  </si>
  <si>
    <t>+1-404-889-8233</t>
  </si>
  <si>
    <t>200 W 41st St</t>
  </si>
  <si>
    <t>Suite 1500</t>
  </si>
  <si>
    <t>459-59-9534</t>
  </si>
  <si>
    <t>https://cdn.singlesignal.com/photos/emp-0019.jpg</t>
  </si>
  <si>
    <t>https://www.linkedin.com/in/bekzat-belleville-19</t>
  </si>
  <si>
    <t>EMP-0020</t>
  </si>
  <si>
    <t>Sandu</t>
  </si>
  <si>
    <t>Castro</t>
  </si>
  <si>
    <t>Sandu Castro</t>
  </si>
  <si>
    <t>sandu.castro@singlesignal.com</t>
  </si>
  <si>
    <t>+1-415-605-5326</t>
  </si>
  <si>
    <t>+1-425-700-2433</t>
  </si>
  <si>
    <t>127-36-6698</t>
  </si>
  <si>
    <t>https://cdn.singlesignal.com/photos/emp-0020.jpg</t>
  </si>
  <si>
    <t>https://www.linkedin.com/in/sandu-castro-20</t>
  </si>
  <si>
    <t>EMP-0021</t>
  </si>
  <si>
    <t>Raimundo</t>
  </si>
  <si>
    <t>Roach</t>
  </si>
  <si>
    <t>Raimundo Roach</t>
  </si>
  <si>
    <t>raimundo.roach@singlesignal.com</t>
  </si>
  <si>
    <t>+1-415-206-5498</t>
  </si>
  <si>
    <t>+1-510-257-6874</t>
  </si>
  <si>
    <t>689-19-5128</t>
  </si>
  <si>
    <t>https://cdn.singlesignal.com/photos/emp-0021.jpg</t>
  </si>
  <si>
    <t>https://www.linkedin.com/in/raimundo-roach-21</t>
  </si>
  <si>
    <t>EMP-0022</t>
  </si>
  <si>
    <t>Zheng</t>
  </si>
  <si>
    <t>Kok</t>
  </si>
  <si>
    <t>Zheng Kok</t>
  </si>
  <si>
    <t>zheng.kok@singlesignal.com</t>
  </si>
  <si>
    <t>+1-415-744-1898</t>
  </si>
  <si>
    <t>+1-425-303-3507</t>
  </si>
  <si>
    <t>175-75-8710</t>
  </si>
  <si>
    <t>https://cdn.singlesignal.com/photos/emp-0022.jpg</t>
  </si>
  <si>
    <t>https://www.linkedin.com/in/zheng-kok-22</t>
  </si>
  <si>
    <t>EMP-0023</t>
  </si>
  <si>
    <t>Sovann</t>
  </si>
  <si>
    <t>Al-Khamis</t>
  </si>
  <si>
    <t>Sovann Al-Khamis</t>
  </si>
  <si>
    <t>sovann.al-khamis@singlesignal.com</t>
  </si>
  <si>
    <t>+1-415-631-1334</t>
  </si>
  <si>
    <t>+1-917-268-9202</t>
  </si>
  <si>
    <t>888-21-8125</t>
  </si>
  <si>
    <t>https://cdn.singlesignal.com/photos/emp-0023.jpg</t>
  </si>
  <si>
    <t>https://www.linkedin.com/in/sovann-al-khamis-23</t>
  </si>
  <si>
    <t>EMP-0024</t>
  </si>
  <si>
    <t>Nora</t>
  </si>
  <si>
    <t>Cabort</t>
  </si>
  <si>
    <t>Lee</t>
  </si>
  <si>
    <t>Nora Cabort</t>
  </si>
  <si>
    <t>nora.cabort@singlesignal.com</t>
  </si>
  <si>
    <t>+1-415-949-6264</t>
  </si>
  <si>
    <t>+1-404-955-2859</t>
  </si>
  <si>
    <t>771-42-1608</t>
  </si>
  <si>
    <t>https://cdn.singlesignal.com/photos/emp-0024.jpg</t>
  </si>
  <si>
    <t>https://www.linkedin.com/in/nora-cabort-24</t>
  </si>
  <si>
    <t>EMP-0025</t>
  </si>
  <si>
    <t>Xiomara</t>
  </si>
  <si>
    <t>Dobnik</t>
  </si>
  <si>
    <t>Xiomara Dobnik</t>
  </si>
  <si>
    <t>xiomara.dobnik@singlesignal.com</t>
  </si>
  <si>
    <t>+1-415-546-8162</t>
  </si>
  <si>
    <t>+1-425-563-3950</t>
  </si>
  <si>
    <t>257-76-5546</t>
  </si>
  <si>
    <t>https://cdn.singlesignal.com/photos/emp-0025.jpg</t>
  </si>
  <si>
    <t>https://www.linkedin.com/in/xiomara-dobnik-25</t>
  </si>
  <si>
    <t>EMP-0026</t>
  </si>
  <si>
    <t>Esther</t>
  </si>
  <si>
    <t>Abou Khalil</t>
  </si>
  <si>
    <t>Esther Abou Khalil</t>
  </si>
  <si>
    <t>esther.abou.khalil@singlesignal.com</t>
  </si>
  <si>
    <t>+1-617-811-7636</t>
  </si>
  <si>
    <t>+1-425-324-4662</t>
  </si>
  <si>
    <t>527-48-1330</t>
  </si>
  <si>
    <t>https://cdn.singlesignal.com/photos/emp-0026.jpg</t>
  </si>
  <si>
    <t>https://www.linkedin.com/in/esther-aboukhalil-26</t>
  </si>
  <si>
    <t>EMP-0027</t>
  </si>
  <si>
    <t>Edyta</t>
  </si>
  <si>
    <t>Tosi</t>
  </si>
  <si>
    <t>Edyta Tosi</t>
  </si>
  <si>
    <t>edyta.tosi@singlesignal.com</t>
  </si>
  <si>
    <t>+1-415-573-2561</t>
  </si>
  <si>
    <t>+1-404-507-1952</t>
  </si>
  <si>
    <t>546-17-1776</t>
  </si>
  <si>
    <t>https://cdn.singlesignal.com/photos/emp-0027.jpg</t>
  </si>
  <si>
    <t>https://www.linkedin.com/in/edyta-tosi-27</t>
  </si>
  <si>
    <t>EMP-0028</t>
  </si>
  <si>
    <t>Gloriana</t>
  </si>
  <si>
    <t>Kaighin</t>
  </si>
  <si>
    <t>Gloriana Kaighin</t>
  </si>
  <si>
    <t>gloriana.kaighin@singlesignal.com</t>
  </si>
  <si>
    <t>+353-1-2597937</t>
  </si>
  <si>
    <t>+353-87-2717869</t>
  </si>
  <si>
    <t>853-12-3556</t>
  </si>
  <si>
    <t>https://cdn.singlesignal.com/photos/emp-0028.jpg</t>
  </si>
  <si>
    <t>https://www.linkedin.com/in/gloriana-kaighin-28</t>
  </si>
  <si>
    <t>EMP-0029</t>
  </si>
  <si>
    <t>Camila</t>
  </si>
  <si>
    <t>Ivarsson</t>
  </si>
  <si>
    <t>Camila Ivarsson</t>
  </si>
  <si>
    <t>camila.ivarsson@singlesignal.com</t>
  </si>
  <si>
    <t>+1-503-846-8116</t>
  </si>
  <si>
    <t>+1-720-815-5954</t>
  </si>
  <si>
    <t>474-88-3884</t>
  </si>
  <si>
    <t>https://cdn.singlesignal.com/photos/emp-0029.jpg</t>
  </si>
  <si>
    <t>https://www.linkedin.com/in/camila-ivarsson-29</t>
  </si>
  <si>
    <t>EMP-0030</t>
  </si>
  <si>
    <t>Joseph</t>
  </si>
  <si>
    <t>Okoth</t>
  </si>
  <si>
    <t>Joseph Okoth</t>
  </si>
  <si>
    <t>joseph.okoth@singlesignal.com</t>
  </si>
  <si>
    <t>+1-646-926-2429</t>
  </si>
  <si>
    <t>+1-404-554-6296</t>
  </si>
  <si>
    <t>869-51-3310</t>
  </si>
  <si>
    <t>https://cdn.singlesignal.com/photos/emp-0030.jpg</t>
  </si>
  <si>
    <t>https://www.linkedin.com/in/joseph-okoth-30</t>
  </si>
  <si>
    <t>EMP-0031</t>
  </si>
  <si>
    <t>Rosemarie</t>
  </si>
  <si>
    <t>Williams</t>
  </si>
  <si>
    <t>Rosemarie Williams</t>
  </si>
  <si>
    <t>rosemarie.williams@singlesignal.com</t>
  </si>
  <si>
    <t>+1-415-418-4375</t>
  </si>
  <si>
    <t>+1-510-625-6805</t>
  </si>
  <si>
    <t>251-82-9400</t>
  </si>
  <si>
    <t>https://cdn.singlesignal.com/photos/emp-0031.jpg</t>
  </si>
  <si>
    <t>https://www.linkedin.com/in/rosemarie-williams-31</t>
  </si>
  <si>
    <t>EMP-0032</t>
  </si>
  <si>
    <t>Sugiarto</t>
  </si>
  <si>
    <t>Oyite</t>
  </si>
  <si>
    <t>Sugiarto Oyite</t>
  </si>
  <si>
    <t>sugiarto.oyite@singlesignal.com</t>
  </si>
  <si>
    <t>+1-415-692-7319</t>
  </si>
  <si>
    <t>+1-404-488-6892</t>
  </si>
  <si>
    <t>751-92-1553</t>
  </si>
  <si>
    <t>https://cdn.singlesignal.com/photos/emp-0032.jpg</t>
  </si>
  <si>
    <t>https://www.linkedin.com/in/sugiarto-oyite-32</t>
  </si>
  <si>
    <t>EMP-0033</t>
  </si>
  <si>
    <t>Lubasi</t>
  </si>
  <si>
    <t>Cai</t>
  </si>
  <si>
    <t>Lubasi Cai</t>
  </si>
  <si>
    <t>lubasi.cai@singlesignal.com</t>
  </si>
  <si>
    <t>+353-1-2283274</t>
  </si>
  <si>
    <t>+353-87-2121273</t>
  </si>
  <si>
    <t>435-14-5796</t>
  </si>
  <si>
    <t>https://cdn.singlesignal.com/photos/emp-0033.jpg</t>
  </si>
  <si>
    <t>https://www.linkedin.com/in/lubasi-cai-33</t>
  </si>
  <si>
    <t>EMP-0034</t>
  </si>
  <si>
    <t>Vicente</t>
  </si>
  <si>
    <t>Kasemets</t>
  </si>
  <si>
    <t>Vicente Kasemets</t>
  </si>
  <si>
    <t>vicente.kasemets@singlesignal.com</t>
  </si>
  <si>
    <t>+1-646-995-4974</t>
  </si>
  <si>
    <t>+1-425-603-2729</t>
  </si>
  <si>
    <t>731-50-2813</t>
  </si>
  <si>
    <t>https://cdn.singlesignal.com/photos/emp-0034.jpg</t>
  </si>
  <si>
    <t>https://www.linkedin.com/in/vicente-kasemets-34</t>
  </si>
  <si>
    <t>EMP-0035</t>
  </si>
  <si>
    <t>Joana</t>
  </si>
  <si>
    <t>Todjinou</t>
  </si>
  <si>
    <t>Joana Todjinou</t>
  </si>
  <si>
    <t>joana.todjinou@singlesignal.com</t>
  </si>
  <si>
    <t>+1-415-620-4893</t>
  </si>
  <si>
    <t>+1-720-848-4221</t>
  </si>
  <si>
    <t>243-65-6656</t>
  </si>
  <si>
    <t>https://cdn.singlesignal.com/photos/emp-0035.jpg</t>
  </si>
  <si>
    <t>https://www.linkedin.com/in/joana-todjinou-35</t>
  </si>
  <si>
    <t>EMP-0036</t>
  </si>
  <si>
    <t>Mihret</t>
  </si>
  <si>
    <t>Bakhit</t>
  </si>
  <si>
    <t>Mihret Bakhit</t>
  </si>
  <si>
    <t>mihret.bakhit@singlesignal.com</t>
  </si>
  <si>
    <t>+1-646-316-5099</t>
  </si>
  <si>
    <t>+1-510-735-9630</t>
  </si>
  <si>
    <t>345-60-8860</t>
  </si>
  <si>
    <t>https://cdn.singlesignal.com/photos/emp-0036.jpg</t>
  </si>
  <si>
    <t>https://www.linkedin.com/in/mihret-bakhit-36</t>
  </si>
  <si>
    <t>EMP-0037</t>
  </si>
  <si>
    <t>Carola</t>
  </si>
  <si>
    <t>Koffi</t>
  </si>
  <si>
    <t>Carola Koffi</t>
  </si>
  <si>
    <t>carola.koffi@singlesignal.com</t>
  </si>
  <si>
    <t>+353-1-2921694</t>
  </si>
  <si>
    <t>+353-87-2143404</t>
  </si>
  <si>
    <t>889-36-4388</t>
  </si>
  <si>
    <t>https://cdn.singlesignal.com/photos/emp-0037.jpg</t>
  </si>
  <si>
    <t>https://www.linkedin.com/in/carola-koffi-37</t>
  </si>
  <si>
    <t>EMP-0038</t>
  </si>
  <si>
    <t>Jerome</t>
  </si>
  <si>
    <t>Fardan</t>
  </si>
  <si>
    <t>Jerome Fardan</t>
  </si>
  <si>
    <t>jerome.fardan@singlesignal.com</t>
  </si>
  <si>
    <t>+1-415-688-7978</t>
  </si>
  <si>
    <t>+1-408-815-6166</t>
  </si>
  <si>
    <t>Finance</t>
  </si>
  <si>
    <t>176-48-6573</t>
  </si>
  <si>
    <t>https://cdn.singlesignal.com/photos/emp-0038.jpg</t>
  </si>
  <si>
    <t>https://www.linkedin.com/in/jerome-fardan-38</t>
  </si>
  <si>
    <t>EMP-0039</t>
  </si>
  <si>
    <t>Glenroy</t>
  </si>
  <si>
    <t>Sauvage</t>
  </si>
  <si>
    <t>Glenroy Sauvage</t>
  </si>
  <si>
    <t>glenroy.sauvage@singlesignal.com</t>
  </si>
  <si>
    <t>+1-415-332-1211</t>
  </si>
  <si>
    <t>+1-720-373-1857</t>
  </si>
  <si>
    <t>735-58-2198</t>
  </si>
  <si>
    <t>https://cdn.singlesignal.com/photos/emp-0039.jpg</t>
  </si>
  <si>
    <t>https://www.linkedin.com/in/glenroy-sauvage-39</t>
  </si>
  <si>
    <t>EMP-0040</t>
  </si>
  <si>
    <t>Amina</t>
  </si>
  <si>
    <t>Penh</t>
  </si>
  <si>
    <t>Amina Penh</t>
  </si>
  <si>
    <t>amina.penh@singlesignal.com</t>
  </si>
  <si>
    <t>+1-415-205-1479</t>
  </si>
  <si>
    <t>+1-720-747-1073</t>
  </si>
  <si>
    <t>HR</t>
  </si>
  <si>
    <t>869-17-8381</t>
  </si>
  <si>
    <t>https://cdn.singlesignal.com/photos/emp-0040.jpg</t>
  </si>
  <si>
    <t>https://www.linkedin.com/in/amina-penh-40</t>
  </si>
  <si>
    <t>EMP-0041</t>
  </si>
  <si>
    <t>Brigitte</t>
  </si>
  <si>
    <t>Paul</t>
  </si>
  <si>
    <t>Brigitte Paul</t>
  </si>
  <si>
    <t>brigitte.paul@singlesignal.com</t>
  </si>
  <si>
    <t>+1-415-682-3402</t>
  </si>
  <si>
    <t>+1-510-806-1877</t>
  </si>
  <si>
    <t>340-24-2124</t>
  </si>
  <si>
    <t>https://cdn.singlesignal.com/photos/emp-0041.jpg</t>
  </si>
  <si>
    <t>https://www.linkedin.com/in/brigitte-paul-41</t>
  </si>
  <si>
    <t>EMP-0042</t>
  </si>
  <si>
    <t>Hana</t>
  </si>
  <si>
    <t>Thaler</t>
  </si>
  <si>
    <t>Hana Thaler</t>
  </si>
  <si>
    <t>hana.thaler@singlesignal.com</t>
  </si>
  <si>
    <t>+1-503-264-9290</t>
  </si>
  <si>
    <t>+1-425-454-3427</t>
  </si>
  <si>
    <t>617-50-8514</t>
  </si>
  <si>
    <t>https://cdn.singlesignal.com/photos/emp-0042.jpg</t>
  </si>
  <si>
    <t>https://www.linkedin.com/in/hana-thaler-42</t>
  </si>
  <si>
    <t>EMP-0043</t>
  </si>
  <si>
    <t>Fabrice</t>
  </si>
  <si>
    <t>Siwale</t>
  </si>
  <si>
    <t>Fabrice Siwale</t>
  </si>
  <si>
    <t>fabrice.siwale@singlesignal.com</t>
  </si>
  <si>
    <t>+1-415-953-5276</t>
  </si>
  <si>
    <t>+1-917-585-6458</t>
  </si>
  <si>
    <t>608-34-4925</t>
  </si>
  <si>
    <t>https://cdn.singlesignal.com/photos/emp-0043.jpg</t>
  </si>
  <si>
    <t>https://www.linkedin.com/in/fabrice-siwale-43</t>
  </si>
  <si>
    <t>EMP-0044</t>
  </si>
  <si>
    <t>Chen</t>
  </si>
  <si>
    <t>Berthé</t>
  </si>
  <si>
    <t>Chen Berthé</t>
  </si>
  <si>
    <t>chen.berthé@singlesignal.com</t>
  </si>
  <si>
    <t>+1-415-363-5966</t>
  </si>
  <si>
    <t>+1-720-449-8929</t>
  </si>
  <si>
    <t>164-91-1817</t>
  </si>
  <si>
    <t>https://cdn.singlesignal.com/photos/emp-0044.jpg</t>
  </si>
  <si>
    <t>https://www.linkedin.com/in/chen-berth-44</t>
  </si>
  <si>
    <t>EMP-0045</t>
  </si>
  <si>
    <t>Naomi</t>
  </si>
  <si>
    <t>Ramkhelawan</t>
  </si>
  <si>
    <t>Naomi Ramkhelawan</t>
  </si>
  <si>
    <t>naomi.ramkhelawan@singlesignal.com</t>
  </si>
  <si>
    <t>+1-415-760-7870</t>
  </si>
  <si>
    <t>+1-720-894-1798</t>
  </si>
  <si>
    <t>596-44-8920</t>
  </si>
  <si>
    <t>https://cdn.singlesignal.com/photos/emp-0045.jpg</t>
  </si>
  <si>
    <t>https://www.linkedin.com/in/naomi-ramkhelawan-45</t>
  </si>
  <si>
    <t>EMP-0046</t>
  </si>
  <si>
    <t>Andrew</t>
  </si>
  <si>
    <t>Saunders</t>
  </si>
  <si>
    <t>Andrew Saunders</t>
  </si>
  <si>
    <t>andrew.saunders@singlesignal.com</t>
  </si>
  <si>
    <t>+1-415-518-2555</t>
  </si>
  <si>
    <t>+1-510-618-2122</t>
  </si>
  <si>
    <t>591-64-7370</t>
  </si>
  <si>
    <t>https://cdn.singlesignal.com/photos/emp-0046.jpg</t>
  </si>
  <si>
    <t>https://www.linkedin.com/in/andrew-saunders-46</t>
  </si>
  <si>
    <t>EMP-0047</t>
  </si>
  <si>
    <t>Mohlomi</t>
  </si>
  <si>
    <t>Embok</t>
  </si>
  <si>
    <t>Mohlomi Embok</t>
  </si>
  <si>
    <t>mohlomi.embok@singlesignal.com</t>
  </si>
  <si>
    <t>+1-415-964-5973</t>
  </si>
  <si>
    <t>+1-404-857-4152</t>
  </si>
  <si>
    <t>803-88-6639</t>
  </si>
  <si>
    <t>https://cdn.singlesignal.com/photos/emp-0047.jpg</t>
  </si>
  <si>
    <t>https://www.linkedin.com/in/mohlomi-embok-47</t>
  </si>
  <si>
    <t>EMP-0048</t>
  </si>
  <si>
    <t>Petra</t>
  </si>
  <si>
    <t>Bae</t>
  </si>
  <si>
    <t>Petra Bae</t>
  </si>
  <si>
    <t>petra.bae@singlesignal.com</t>
  </si>
  <si>
    <t>+1-415-414-7805</t>
  </si>
  <si>
    <t>+1-408-284-4601</t>
  </si>
  <si>
    <t>452-26-8790</t>
  </si>
  <si>
    <t>https://cdn.singlesignal.com/photos/emp-0048.jpg</t>
  </si>
  <si>
    <t>https://www.linkedin.com/in/petra-bae-48</t>
  </si>
  <si>
    <t>EMP-0049</t>
  </si>
  <si>
    <t>Alessio</t>
  </si>
  <si>
    <t>Fernández</t>
  </si>
  <si>
    <t>Alessio Fernández</t>
  </si>
  <si>
    <t>alessio.fernández@singlesignal.com</t>
  </si>
  <si>
    <t>+1-415-604-7944</t>
  </si>
  <si>
    <t>+1-425-281-5935</t>
  </si>
  <si>
    <t>799-99-5978</t>
  </si>
  <si>
    <t>https://cdn.singlesignal.com/photos/emp-0049.jpg</t>
  </si>
  <si>
    <t>https://www.linkedin.com/in/alessio-fernndez-49</t>
  </si>
  <si>
    <t>EMP-0050</t>
  </si>
  <si>
    <t>Charlotte</t>
  </si>
  <si>
    <t>Hage</t>
  </si>
  <si>
    <t>Charlotte Hage</t>
  </si>
  <si>
    <t>charlotte.hage@singlesignal.com</t>
  </si>
  <si>
    <t>+1-415-204-7959</t>
  </si>
  <si>
    <t>+1-720-522-4941</t>
  </si>
  <si>
    <t>684-38-3978</t>
  </si>
  <si>
    <t>https://cdn.singlesignal.com/photos/emp-0050.jpg</t>
  </si>
  <si>
    <t>https://www.linkedin.com/in/charlotte-hage-50</t>
  </si>
  <si>
    <t>EMP-0051</t>
  </si>
  <si>
    <t>Dafina</t>
  </si>
  <si>
    <t>Dafina Paul</t>
  </si>
  <si>
    <t>dafina.paul@singlesignal.com</t>
  </si>
  <si>
    <t>+1-415-685-3406</t>
  </si>
  <si>
    <t>+1-408-415-7980</t>
  </si>
  <si>
    <t>427-17-1088</t>
  </si>
  <si>
    <t>https://cdn.singlesignal.com/photos/emp-0051.jpg</t>
  </si>
  <si>
    <t>https://www.linkedin.com/in/dafina-paul-51</t>
  </si>
  <si>
    <t>EMP-0052</t>
  </si>
  <si>
    <t>Vijay</t>
  </si>
  <si>
    <t>Rossouw</t>
  </si>
  <si>
    <t>Vijay Rossouw</t>
  </si>
  <si>
    <t>vijay.rossouw@singlesignal.com</t>
  </si>
  <si>
    <t>+353-1-2172199</t>
  </si>
  <si>
    <t>+353-87-2495319</t>
  </si>
  <si>
    <t>825-53-5448</t>
  </si>
  <si>
    <t>https://cdn.singlesignal.com/photos/emp-0052.jpg</t>
  </si>
  <si>
    <t>https://www.linkedin.com/in/vijay-rossouw-52</t>
  </si>
  <si>
    <t>EMP-0053</t>
  </si>
  <si>
    <t>Britt</t>
  </si>
  <si>
    <t>Thabit</t>
  </si>
  <si>
    <t>Britt Thabit</t>
  </si>
  <si>
    <t>britt.thabit@singlesignal.com</t>
  </si>
  <si>
    <t>+1-415-454-5179</t>
  </si>
  <si>
    <t>+1-510-901-4111</t>
  </si>
  <si>
    <t>404-50-5215</t>
  </si>
  <si>
    <t>https://cdn.singlesignal.com/photos/emp-0053.jpg</t>
  </si>
  <si>
    <t>https://www.linkedin.com/in/britt-thabit-53</t>
  </si>
  <si>
    <t>EMP-0054</t>
  </si>
  <si>
    <t>Nafissatou</t>
  </si>
  <si>
    <t>Tan</t>
  </si>
  <si>
    <t>Nafissatou Tan</t>
  </si>
  <si>
    <t>nafissatou.tan@singlesignal.com</t>
  </si>
  <si>
    <t>+1-646-313-3674</t>
  </si>
  <si>
    <t>+1-510-693-5867</t>
  </si>
  <si>
    <t>664-70-8014</t>
  </si>
  <si>
    <t>https://cdn.singlesignal.com/photos/emp-0054.jpg</t>
  </si>
  <si>
    <t>https://www.linkedin.com/in/nafissatou-tan-54</t>
  </si>
  <si>
    <t>EMP-0055</t>
  </si>
  <si>
    <t>Paulette</t>
  </si>
  <si>
    <t>Krenn</t>
  </si>
  <si>
    <t>Paulette Krenn</t>
  </si>
  <si>
    <t>paulette.krenn@singlesignal.com</t>
  </si>
  <si>
    <t>+1-415-880-2713</t>
  </si>
  <si>
    <t>+1-404-629-3015</t>
  </si>
  <si>
    <t>187-37-6943</t>
  </si>
  <si>
    <t>https://cdn.singlesignal.com/photos/emp-0055.jpg</t>
  </si>
  <si>
    <t>https://www.linkedin.com/in/paulette-krenn-55</t>
  </si>
  <si>
    <t>EMP-0056</t>
  </si>
  <si>
    <t>Emma</t>
  </si>
  <si>
    <t>Emma Castro</t>
  </si>
  <si>
    <t>emma.castro@singlesignal.com</t>
  </si>
  <si>
    <t>+1-312-941-4639</t>
  </si>
  <si>
    <t>+1-425-671-1176</t>
  </si>
  <si>
    <t>88 Broadway</t>
  </si>
  <si>
    <t>Apt 9C</t>
  </si>
  <si>
    <t>Brooklyn</t>
  </si>
  <si>
    <t>588-93-7276</t>
  </si>
  <si>
    <t>https://cdn.singlesignal.com/photos/emp-0056.jpg</t>
  </si>
  <si>
    <t>https://www.linkedin.com/in/emma-castro-56</t>
  </si>
  <si>
    <t>EMP-0057</t>
  </si>
  <si>
    <t>Bun</t>
  </si>
  <si>
    <t>Al-Johani</t>
  </si>
  <si>
    <t>Bun Al-Johani</t>
  </si>
  <si>
    <t>bun.al-johani@singlesignal.com</t>
  </si>
  <si>
    <t>+1-415-219-8932</t>
  </si>
  <si>
    <t>+1-720-972-5634</t>
  </si>
  <si>
    <t>732-66-9901</t>
  </si>
  <si>
    <t>https://cdn.singlesignal.com/photos/emp-0057.jpg</t>
  </si>
  <si>
    <t>https://www.linkedin.com/in/bun-al-johani-57</t>
  </si>
  <si>
    <t>EMP-0058</t>
  </si>
  <si>
    <t>Ines</t>
  </si>
  <si>
    <t>Zembe</t>
  </si>
  <si>
    <t>Ines Zembe</t>
  </si>
  <si>
    <t>ines.zembe@singlesignal.com</t>
  </si>
  <si>
    <t>+1-312-448-2206</t>
  </si>
  <si>
    <t>+1-510-826-5237</t>
  </si>
  <si>
    <t>556-17-4757</t>
  </si>
  <si>
    <t>https://cdn.singlesignal.com/photos/emp-0058.jpg</t>
  </si>
  <si>
    <t>https://www.linkedin.com/in/ines-zembe-58</t>
  </si>
  <si>
    <t>EMP-0059</t>
  </si>
  <si>
    <t>Yohan</t>
  </si>
  <si>
    <t>Constancia</t>
  </si>
  <si>
    <t>Yohan Constancia</t>
  </si>
  <si>
    <t>yohan.constancia@singlesignal.com</t>
  </si>
  <si>
    <t>+1-415-732-7774</t>
  </si>
  <si>
    <t>+1-404-494-8799</t>
  </si>
  <si>
    <t>615-21-2554</t>
  </si>
  <si>
    <t>https://cdn.singlesignal.com/photos/emp-0059.jpg</t>
  </si>
  <si>
    <t>https://www.linkedin.com/in/yohan-constancia-59</t>
  </si>
  <si>
    <t>EMP-0060</t>
  </si>
  <si>
    <t>Hripsime</t>
  </si>
  <si>
    <t>Ntibarikure</t>
  </si>
  <si>
    <t>Hripsime Ntibarikure</t>
  </si>
  <si>
    <t>hripsime.ntibarikure@singlesignal.com</t>
  </si>
  <si>
    <t>+1-415-620-9404</t>
  </si>
  <si>
    <t>+1-425-654-4048</t>
  </si>
  <si>
    <t>737-24-6251</t>
  </si>
  <si>
    <t>https://cdn.singlesignal.com/photos/emp-0060.jpg</t>
  </si>
  <si>
    <t>https://www.linkedin.com/in/hripsime-ntibarikure-60</t>
  </si>
  <si>
    <t>EMP-0061</t>
  </si>
  <si>
    <t>Hla Myint</t>
  </si>
  <si>
    <t>Chan</t>
  </si>
  <si>
    <t>Hla Myint Chan</t>
  </si>
  <si>
    <t>hla.myint.chan@singlesignal.com</t>
  </si>
  <si>
    <t>+1-646-409-9702</t>
  </si>
  <si>
    <t>+1-917-813-7920</t>
  </si>
  <si>
    <t>684-98-7839</t>
  </si>
  <si>
    <t>https://cdn.singlesignal.com/photos/emp-0061.jpg</t>
  </si>
  <si>
    <t>https://www.linkedin.com/in/hlamyint-chan-61</t>
  </si>
  <si>
    <t>EMP-0062</t>
  </si>
  <si>
    <t>Gaurav</t>
  </si>
  <si>
    <t>Mendez</t>
  </si>
  <si>
    <t>Gaurav Mendez</t>
  </si>
  <si>
    <t>gaurav.mendez@singlesignal.com</t>
  </si>
  <si>
    <t>+1-312-270-8347</t>
  </si>
  <si>
    <t>+1-404-388-8851</t>
  </si>
  <si>
    <t>233 S Wacker Dr</t>
  </si>
  <si>
    <t>Apt 38B</t>
  </si>
  <si>
    <t>Chicago</t>
  </si>
  <si>
    <t>IL</t>
  </si>
  <si>
    <t>451-93-2473</t>
  </si>
  <si>
    <t>https://cdn.singlesignal.com/photos/emp-0062.jpg</t>
  </si>
  <si>
    <t>https://www.linkedin.com/in/gaurav-mendez-62</t>
  </si>
  <si>
    <t>EMP-0063</t>
  </si>
  <si>
    <t>Tono</t>
  </si>
  <si>
    <t>Turner</t>
  </si>
  <si>
    <t>Tono Turner</t>
  </si>
  <si>
    <t>tono.turner@singlesignal.com</t>
  </si>
  <si>
    <t>+1-415-942-1299</t>
  </si>
  <si>
    <t>+1-404-903-9523</t>
  </si>
  <si>
    <t>224-52-8187</t>
  </si>
  <si>
    <t>https://cdn.singlesignal.com/photos/emp-0063.jpg</t>
  </si>
  <si>
    <t>https://www.linkedin.com/in/tono-turner-63</t>
  </si>
  <si>
    <t>EMP-0064</t>
  </si>
  <si>
    <t>Clara</t>
  </si>
  <si>
    <t>Theophile</t>
  </si>
  <si>
    <t>Clara Theophile</t>
  </si>
  <si>
    <t>clara.theophile@singlesignal.com</t>
  </si>
  <si>
    <t>+1-617-559-6181</t>
  </si>
  <si>
    <t>+1-917-823-9395</t>
  </si>
  <si>
    <t>903 Peachtree St NE</t>
  </si>
  <si>
    <t>Unit 1204</t>
  </si>
  <si>
    <t>Atlanta</t>
  </si>
  <si>
    <t>GA</t>
  </si>
  <si>
    <t>565-35-1344</t>
  </si>
  <si>
    <t>https://cdn.singlesignal.com/photos/emp-0064.jpg</t>
  </si>
  <si>
    <t>https://www.linkedin.com/in/clara-theophile-64</t>
  </si>
  <si>
    <t>EMP-0065</t>
  </si>
  <si>
    <t>Bagila</t>
  </si>
  <si>
    <t>Mucavel</t>
  </si>
  <si>
    <t>Bagila Mucavel</t>
  </si>
  <si>
    <t>bagila.mucavel@singlesignal.com</t>
  </si>
  <si>
    <t>+1-617-230-1785</t>
  </si>
  <si>
    <t>+1-720-413-6478</t>
  </si>
  <si>
    <t>759-94-7872</t>
  </si>
  <si>
    <t>https://cdn.singlesignal.com/photos/emp-0065.jpg</t>
  </si>
  <si>
    <t>https://www.linkedin.com/in/bagila-mucavel-65</t>
  </si>
  <si>
    <t>EMP-0066</t>
  </si>
  <si>
    <t>Ottavio</t>
  </si>
  <si>
    <t>Naito</t>
  </si>
  <si>
    <t>Ottavio Naito</t>
  </si>
  <si>
    <t>ottavio.naito@singlesignal.com</t>
  </si>
  <si>
    <t>+1-646-940-9393</t>
  </si>
  <si>
    <t>+1-425-974-8786</t>
  </si>
  <si>
    <t>372-21-3198</t>
  </si>
  <si>
    <t>https://cdn.singlesignal.com/photos/emp-0066.jpg</t>
  </si>
  <si>
    <t>https://www.linkedin.com/in/ottavio-naito-66</t>
  </si>
  <si>
    <t>EMP-0067</t>
  </si>
  <si>
    <t>Jules</t>
  </si>
  <si>
    <t>Haamaluba</t>
  </si>
  <si>
    <t>Jules Haamaluba</t>
  </si>
  <si>
    <t>jules.haamaluba@singlesignal.com</t>
  </si>
  <si>
    <t>+1-415-750-9979</t>
  </si>
  <si>
    <t>+1-404-651-7589</t>
  </si>
  <si>
    <t>645-55-7793</t>
  </si>
  <si>
    <t>https://cdn.singlesignal.com/photos/emp-0067.jpg</t>
  </si>
  <si>
    <t>https://www.linkedin.com/in/jules-haamaluba-67</t>
  </si>
  <si>
    <t>EMP-0068</t>
  </si>
  <si>
    <t>Alda</t>
  </si>
  <si>
    <t>Ghanem</t>
  </si>
  <si>
    <t>Alda Ghanem</t>
  </si>
  <si>
    <t>alda.ghanem@singlesignal.com</t>
  </si>
  <si>
    <t>+1-415-849-1268</t>
  </si>
  <si>
    <t>+1-425-862-7521</t>
  </si>
  <si>
    <t>254-26-6463</t>
  </si>
  <si>
    <t>https://cdn.singlesignal.com/photos/emp-0068.jpg</t>
  </si>
  <si>
    <t>https://www.linkedin.com/in/alda-ghanem-68</t>
  </si>
  <si>
    <t>EMP-0069</t>
  </si>
  <si>
    <t>Janice</t>
  </si>
  <si>
    <t>Bukovský</t>
  </si>
  <si>
    <t>Janice Bukovský</t>
  </si>
  <si>
    <t>janice.bukovský@singlesignal.com</t>
  </si>
  <si>
    <t>+1-415-586-6625</t>
  </si>
  <si>
    <t>+1-917-792-5838</t>
  </si>
  <si>
    <t>244-61-5981</t>
  </si>
  <si>
    <t>https://cdn.singlesignal.com/photos/emp-0069.jpg</t>
  </si>
  <si>
    <t>https://www.linkedin.com/in/janice-bukovsk-69</t>
  </si>
  <si>
    <t>EMP-0070</t>
  </si>
  <si>
    <t>Mapaseka</t>
  </si>
  <si>
    <t>Nhaca</t>
  </si>
  <si>
    <t>Mapaseka Nhaca</t>
  </si>
  <si>
    <t>mapaseka.nhaca@singlesignal.com</t>
  </si>
  <si>
    <t>+353-1-2713575</t>
  </si>
  <si>
    <t>+353-87-2365626</t>
  </si>
  <si>
    <t>South Bank House, Barrow St</t>
  </si>
  <si>
    <t>D04 TR29</t>
  </si>
  <si>
    <t>679-83-8980</t>
  </si>
  <si>
    <t>https://cdn.singlesignal.com/photos/emp-0070.jpg</t>
  </si>
  <si>
    <t>https://www.linkedin.com/in/mapaseka-nhaca-70</t>
  </si>
  <si>
    <t>EMP-0071</t>
  </si>
  <si>
    <t>Anush</t>
  </si>
  <si>
    <t>Walczak</t>
  </si>
  <si>
    <t>Anush Walczak</t>
  </si>
  <si>
    <t>anush.walczak@singlesignal.com</t>
  </si>
  <si>
    <t>+1-415-263-2323</t>
  </si>
  <si>
    <t>+1-425-770-8608</t>
  </si>
  <si>
    <t>548-49-9264</t>
  </si>
  <si>
    <t>https://cdn.singlesignal.com/photos/emp-0071.jpg</t>
  </si>
  <si>
    <t>https://www.linkedin.com/in/anush-walczak-71</t>
  </si>
  <si>
    <t>EMP-0072</t>
  </si>
  <si>
    <t>Mari</t>
  </si>
  <si>
    <t>Salazar</t>
  </si>
  <si>
    <t>Mari Salazar</t>
  </si>
  <si>
    <t>mari.salazar@singlesignal.com</t>
  </si>
  <si>
    <t>+1-415-858-4621</t>
  </si>
  <si>
    <t>+1-917-346-7209</t>
  </si>
  <si>
    <t>732-28-8309</t>
  </si>
  <si>
    <t>https://cdn.singlesignal.com/photos/emp-0072.jpg</t>
  </si>
  <si>
    <t>https://www.linkedin.com/in/mari-salazar-72</t>
  </si>
  <si>
    <t>EMP-0073</t>
  </si>
  <si>
    <t>Thierry</t>
  </si>
  <si>
    <t>Guei</t>
  </si>
  <si>
    <t>Thierry Guei</t>
  </si>
  <si>
    <t>thierry.guei@singlesignal.com</t>
  </si>
  <si>
    <t>+1-646-869-7359</t>
  </si>
  <si>
    <t>+1-408-635-6096</t>
  </si>
  <si>
    <t>635-66-5589</t>
  </si>
  <si>
    <t>https://cdn.singlesignal.com/photos/emp-0073.jpg</t>
  </si>
  <si>
    <t>https://www.linkedin.com/in/thierry-guei-73</t>
  </si>
  <si>
    <t>EMP-0074</t>
  </si>
  <si>
    <t>Ghanim</t>
  </si>
  <si>
    <t>Romero</t>
  </si>
  <si>
    <t>Ghanim Romero</t>
  </si>
  <si>
    <t>ghanim.romero@singlesignal.com</t>
  </si>
  <si>
    <t>+1-646-346-5784</t>
  </si>
  <si>
    <t>+1-425-746-7605</t>
  </si>
  <si>
    <t>366-72-8263</t>
  </si>
  <si>
    <t>https://cdn.singlesignal.com/photos/emp-0074.jpg</t>
  </si>
  <si>
    <t>https://www.linkedin.com/in/ghanim-romero-74</t>
  </si>
  <si>
    <t>EMP-0075</t>
  </si>
  <si>
    <t>Alexandrina</t>
  </si>
  <si>
    <t>Mohyeldin</t>
  </si>
  <si>
    <t>Alexandrina Mohyeldin</t>
  </si>
  <si>
    <t>alexandrina.mohyeldin@singlesignal.com</t>
  </si>
  <si>
    <t>+1-415-615-1185</t>
  </si>
  <si>
    <t>+1-510-493-8244</t>
  </si>
  <si>
    <t>299-80-7034</t>
  </si>
  <si>
    <t>https://cdn.singlesignal.com/photos/emp-0075.jpg</t>
  </si>
  <si>
    <t>https://www.linkedin.com/in/alexandrina-mohyeldin-75</t>
  </si>
  <si>
    <t>EMP-0076</t>
  </si>
  <si>
    <t>Rashid</t>
  </si>
  <si>
    <t>Torres</t>
  </si>
  <si>
    <t>Rashid Torres</t>
  </si>
  <si>
    <t>rashid.torres@singlesignal.com</t>
  </si>
  <si>
    <t>+1-415-663-3287</t>
  </si>
  <si>
    <t>+1-720-266-7751</t>
  </si>
  <si>
    <t>175-13-9423</t>
  </si>
  <si>
    <t>https://cdn.singlesignal.com/photos/emp-0076.jpg</t>
  </si>
  <si>
    <t>https://www.linkedin.com/in/rashid-torres-76</t>
  </si>
  <si>
    <t>EMP-0077</t>
  </si>
  <si>
    <t>Aziza</t>
  </si>
  <si>
    <t>Seru</t>
  </si>
  <si>
    <t>Aziza Seru</t>
  </si>
  <si>
    <t>aziza.seru@singlesignal.com</t>
  </si>
  <si>
    <t>+1-646-968-9156</t>
  </si>
  <si>
    <t>+1-408-821-5933</t>
  </si>
  <si>
    <t>130-86-4571</t>
  </si>
  <si>
    <t>https://cdn.singlesignal.com/photos/emp-0077.jpg</t>
  </si>
  <si>
    <t>https://www.linkedin.com/in/aziza-seru-77</t>
  </si>
  <si>
    <t>EMP-0078</t>
  </si>
  <si>
    <t>Itumeleng</t>
  </si>
  <si>
    <t>Le Cheminant</t>
  </si>
  <si>
    <t>Itumeleng Le Cheminant</t>
  </si>
  <si>
    <t>itumeleng.le.cheminant@singlesignal.com</t>
  </si>
  <si>
    <t>+1-646-856-8355</t>
  </si>
  <si>
    <t>+1-510-624-9822</t>
  </si>
  <si>
    <t>679-86-4086</t>
  </si>
  <si>
    <t>https://cdn.singlesignal.com/photos/emp-0078.jpg</t>
  </si>
  <si>
    <t>https://www.linkedin.com/in/itumeleng-lecheminant-78</t>
  </si>
  <si>
    <t>EMP-0079</t>
  </si>
  <si>
    <t>Mathieu</t>
  </si>
  <si>
    <t>Edness</t>
  </si>
  <si>
    <t>Mathieu Edness</t>
  </si>
  <si>
    <t>mathieu.edness@singlesignal.com</t>
  </si>
  <si>
    <t>+353-1-2049626</t>
  </si>
  <si>
    <t>+353-87-2159242</t>
  </si>
  <si>
    <t>504-30-8673</t>
  </si>
  <si>
    <t>https://cdn.singlesignal.com/photos/emp-0079.jpg</t>
  </si>
  <si>
    <t>https://www.linkedin.com/in/mathieu-edness-79</t>
  </si>
  <si>
    <t>EMP-0080</t>
  </si>
  <si>
    <t>Nayef</t>
  </si>
  <si>
    <t>Stevens</t>
  </si>
  <si>
    <t>Nayef Stevens</t>
  </si>
  <si>
    <t>nayef.stevens@singlesignal.com</t>
  </si>
  <si>
    <t>+1-415-200-3006</t>
  </si>
  <si>
    <t>+1-404-799-3461</t>
  </si>
  <si>
    <t>168-11-6269</t>
  </si>
  <si>
    <t>https://cdn.singlesignal.com/photos/emp-0080.jpg</t>
  </si>
  <si>
    <t>https://www.linkedin.com/in/nayef-stevens-80</t>
  </si>
  <si>
    <t>EMP-0081</t>
  </si>
  <si>
    <t>Diego</t>
  </si>
  <si>
    <t>Adam</t>
  </si>
  <si>
    <t>Diego Adam</t>
  </si>
  <si>
    <t>diego.adam@singlesignal.com</t>
  </si>
  <si>
    <t>+1-646-275-7073</t>
  </si>
  <si>
    <t>+1-425-600-8056</t>
  </si>
  <si>
    <t>668-97-4163</t>
  </si>
  <si>
    <t>https://cdn.singlesignal.com/photos/emp-0081.jpg</t>
  </si>
  <si>
    <t>https://www.linkedin.com/in/diego-adam-81</t>
  </si>
  <si>
    <t>EMP-0082</t>
  </si>
  <si>
    <t>Françoise</t>
  </si>
  <si>
    <t>Zorec</t>
  </si>
  <si>
    <t>Françoise Zorec</t>
  </si>
  <si>
    <t>françoise.zorec@singlesignal.com</t>
  </si>
  <si>
    <t>+353-1-2752757</t>
  </si>
  <si>
    <t>+353-87-2915406</t>
  </si>
  <si>
    <t>825-48-8429</t>
  </si>
  <si>
    <t>https://cdn.singlesignal.com/photos/emp-0082.jpg</t>
  </si>
  <si>
    <t>https://www.linkedin.com/in/franoise-zorec-82</t>
  </si>
  <si>
    <t>EMP-0083</t>
  </si>
  <si>
    <t>Mwanje</t>
  </si>
  <si>
    <t>Isabella Mwanje</t>
  </si>
  <si>
    <t>isabella.mwanje@singlesignal.com</t>
  </si>
  <si>
    <t>+1-415-442-7052</t>
  </si>
  <si>
    <t>+1-720-243-5775</t>
  </si>
  <si>
    <t>445-10-9295</t>
  </si>
  <si>
    <t>https://cdn.singlesignal.com/photos/emp-0083.jpg</t>
  </si>
  <si>
    <t>https://www.linkedin.com/in/isabella-mwanje-83</t>
  </si>
  <si>
    <t>EMP-0084</t>
  </si>
  <si>
    <t>Khrystyna</t>
  </si>
  <si>
    <t>Sambú</t>
  </si>
  <si>
    <t>Khrystyna Sambú</t>
  </si>
  <si>
    <t>khrystyna.sambú@singlesignal.com</t>
  </si>
  <si>
    <t>+1-415-630-2678</t>
  </si>
  <si>
    <t>+1-510-840-2004</t>
  </si>
  <si>
    <t>232-11-6199</t>
  </si>
  <si>
    <t>https://cdn.singlesignal.com/photos/emp-0084.jpg</t>
  </si>
  <si>
    <t>https://www.linkedin.com/in/khrystyna-samb-84</t>
  </si>
  <si>
    <t>EMP-0085</t>
  </si>
  <si>
    <t>Michelle</t>
  </si>
  <si>
    <t>Hashim</t>
  </si>
  <si>
    <t>Michelle Hashim</t>
  </si>
  <si>
    <t>michelle.hashim@singlesignal.com</t>
  </si>
  <si>
    <t>+1-415-754-8309</t>
  </si>
  <si>
    <t>+1-425-320-5702</t>
  </si>
  <si>
    <t>552-35-1975</t>
  </si>
  <si>
    <t>https://cdn.singlesignal.com/photos/emp-0085.jpg</t>
  </si>
  <si>
    <t>https://www.linkedin.com/in/michelle-hashim-85</t>
  </si>
  <si>
    <t>EMP-0086</t>
  </si>
  <si>
    <t>Luiza</t>
  </si>
  <si>
    <t>Quiroga</t>
  </si>
  <si>
    <t>Luiza Quiroga</t>
  </si>
  <si>
    <t>luiza.quiroga@singlesignal.com</t>
  </si>
  <si>
    <t>+1-415-335-5078</t>
  </si>
  <si>
    <t>+1-720-575-1892</t>
  </si>
  <si>
    <t>773-86-7266</t>
  </si>
  <si>
    <t>https://cdn.singlesignal.com/photos/emp-0086.jpg</t>
  </si>
  <si>
    <t>https://www.linkedin.com/in/luiza-quiroga-86</t>
  </si>
  <si>
    <t>EMP-0087</t>
  </si>
  <si>
    <t>Rini</t>
  </si>
  <si>
    <t>Huanca</t>
  </si>
  <si>
    <t>Rini Huanca</t>
  </si>
  <si>
    <t>rini.huanca@singlesignal.com</t>
  </si>
  <si>
    <t>+1-415-721-2628</t>
  </si>
  <si>
    <t>+1-425-972-6255</t>
  </si>
  <si>
    <t>876-56-1645</t>
  </si>
  <si>
    <t>https://cdn.singlesignal.com/photos/emp-0087.jpg</t>
  </si>
  <si>
    <t>https://www.linkedin.com/in/rini-huanca-87</t>
  </si>
  <si>
    <t>EMP-0088</t>
  </si>
  <si>
    <t>Krista</t>
  </si>
  <si>
    <t>Zhukovsky</t>
  </si>
  <si>
    <t>Krista Zhukovsky</t>
  </si>
  <si>
    <t>krista.zhukovsky@singlesignal.com</t>
  </si>
  <si>
    <t>+1-415-228-7885</t>
  </si>
  <si>
    <t>+1-720-565-9240</t>
  </si>
  <si>
    <t>501-66-1096</t>
  </si>
  <si>
    <t>https://cdn.singlesignal.com/photos/emp-0088.jpg</t>
  </si>
  <si>
    <t>https://www.linkedin.com/in/krista-zhukovsky-88</t>
  </si>
  <si>
    <t>EMP-0089</t>
  </si>
  <si>
    <t>Mirko</t>
  </si>
  <si>
    <t>Maier</t>
  </si>
  <si>
    <t>Mirko Maier</t>
  </si>
  <si>
    <t>mirko.maier@singlesignal.com</t>
  </si>
  <si>
    <t>+1-415-296-5361</t>
  </si>
  <si>
    <t>+1-917-616-6493</t>
  </si>
  <si>
    <t>331-40-7694</t>
  </si>
  <si>
    <t>https://cdn.singlesignal.com/photos/emp-0089.jpg</t>
  </si>
  <si>
    <t>https://www.linkedin.com/in/mirko-maier-89</t>
  </si>
  <si>
    <t>EMP-0090</t>
  </si>
  <si>
    <t>Simona</t>
  </si>
  <si>
    <t>Le Mesurier</t>
  </si>
  <si>
    <t>Simona Le Mesurier</t>
  </si>
  <si>
    <t>simona.le.mesurier@singlesignal.com</t>
  </si>
  <si>
    <t>+1-415-875-6568</t>
  </si>
  <si>
    <t>+1-404-808-6174</t>
  </si>
  <si>
    <t>411-10-7307</t>
  </si>
  <si>
    <t>https://cdn.singlesignal.com/photos/emp-0090.jpg</t>
  </si>
  <si>
    <t>https://www.linkedin.com/in/simona-lemesurier-90</t>
  </si>
  <si>
    <t>EMP-0091</t>
  </si>
  <si>
    <t>Mahale</t>
  </si>
  <si>
    <t>Isabella Mahale</t>
  </si>
  <si>
    <t>isabella.mahale@singlesignal.com</t>
  </si>
  <si>
    <t>+1-646-788-4746</t>
  </si>
  <si>
    <t>+1-720-886-2422</t>
  </si>
  <si>
    <t>580-32-4352</t>
  </si>
  <si>
    <t>https://cdn.singlesignal.com/photos/emp-0091.jpg</t>
  </si>
  <si>
    <t>https://www.linkedin.com/in/isabella-mahale-91</t>
  </si>
  <si>
    <t>EMP-0092</t>
  </si>
  <si>
    <t>Ieremia</t>
  </si>
  <si>
    <t>Ieremia James</t>
  </si>
  <si>
    <t>ieremia.james@singlesignal.com</t>
  </si>
  <si>
    <t>+1-206-848-7654</t>
  </si>
  <si>
    <t>+1-917-319-1865</t>
  </si>
  <si>
    <t>326-97-8137</t>
  </si>
  <si>
    <t>https://cdn.singlesignal.com/photos/emp-0092.jpg</t>
  </si>
  <si>
    <t>https://www.linkedin.com/in/ieremia-james-92</t>
  </si>
  <si>
    <t>EMP-0093</t>
  </si>
  <si>
    <t>Freddy</t>
  </si>
  <si>
    <t>Shing</t>
  </si>
  <si>
    <t>Freddy Shing</t>
  </si>
  <si>
    <t>freddy.shing@singlesignal.com</t>
  </si>
  <si>
    <t>+1-646-701-7981</t>
  </si>
  <si>
    <t>+1-425-607-3154</t>
  </si>
  <si>
    <t>271-40-2891</t>
  </si>
  <si>
    <t>https://cdn.singlesignal.com/photos/emp-0093.jpg</t>
  </si>
  <si>
    <t>https://www.linkedin.com/in/freddy-shing-93</t>
  </si>
  <si>
    <t>EMP-0094</t>
  </si>
  <si>
    <t>Johannes</t>
  </si>
  <si>
    <t>Jean Johannes</t>
  </si>
  <si>
    <t>jean.johannes@singlesignal.com</t>
  </si>
  <si>
    <t>+1-646-562-9082</t>
  </si>
  <si>
    <t>+1-404-999-3247</t>
  </si>
  <si>
    <t>701-57-1178</t>
  </si>
  <si>
    <t>https://cdn.singlesignal.com/photos/emp-0094.jpg</t>
  </si>
  <si>
    <t>https://www.linkedin.com/in/jean-johannes-94</t>
  </si>
  <si>
    <t>EMP-0095</t>
  </si>
  <si>
    <t>Sofia</t>
  </si>
  <si>
    <t>Bouzaglo</t>
  </si>
  <si>
    <t>Sofia Bouzaglo</t>
  </si>
  <si>
    <t>sofia.bouzaglo@singlesignal.com</t>
  </si>
  <si>
    <t>+353-1-2419742</t>
  </si>
  <si>
    <t>+353-87-2581167</t>
  </si>
  <si>
    <t>197-43-1850</t>
  </si>
  <si>
    <t>https://cdn.singlesignal.com/photos/emp-0095.jpg</t>
  </si>
  <si>
    <t>https://www.linkedin.com/in/sofia-bouzaglo-95</t>
  </si>
  <si>
    <t>EMP-0096</t>
  </si>
  <si>
    <t>Ruiz</t>
  </si>
  <si>
    <t>Kai Ruiz</t>
  </si>
  <si>
    <t>kai.ruiz@singlesignal.com</t>
  </si>
  <si>
    <t>+1-415-980-3819</t>
  </si>
  <si>
    <t>+1-510-920-9088</t>
  </si>
  <si>
    <t>617-14-7470</t>
  </si>
  <si>
    <t>https://cdn.singlesignal.com/photos/emp-0096.jpg</t>
  </si>
  <si>
    <t>https://www.linkedin.com/in/kai-ruiz-96</t>
  </si>
  <si>
    <t>EMP-0097</t>
  </si>
  <si>
    <t>Zaynab</t>
  </si>
  <si>
    <t>Gessesse</t>
  </si>
  <si>
    <t>Zaynab Gessesse</t>
  </si>
  <si>
    <t>zaynab.gessesse@singlesignal.com</t>
  </si>
  <si>
    <t>+1-415-231-4191</t>
  </si>
  <si>
    <t>+1-425-547-6278</t>
  </si>
  <si>
    <t>360-56-2811</t>
  </si>
  <si>
    <t>https://cdn.singlesignal.com/photos/emp-0097.jpg</t>
  </si>
  <si>
    <t>https://www.linkedin.com/in/zaynab-gessesse-97</t>
  </si>
  <si>
    <t>EMP-0098</t>
  </si>
  <si>
    <t>Mary</t>
  </si>
  <si>
    <t>Navarro</t>
  </si>
  <si>
    <t>Mary Navarro</t>
  </si>
  <si>
    <t>mary.navarro@singlesignal.com</t>
  </si>
  <si>
    <t>+1-646-906-2064</t>
  </si>
  <si>
    <t>+1-510-927-6480</t>
  </si>
  <si>
    <t>457-38-9055</t>
  </si>
  <si>
    <t>https://cdn.singlesignal.com/photos/emp-0098.jpg</t>
  </si>
  <si>
    <t>https://www.linkedin.com/in/mary-navarro-98</t>
  </si>
  <si>
    <t>EMP-0099</t>
  </si>
  <si>
    <t>Jasmine</t>
  </si>
  <si>
    <t>Marhé</t>
  </si>
  <si>
    <t>Jasmine Marhé</t>
  </si>
  <si>
    <t>jasmine.marhé@singlesignal.com</t>
  </si>
  <si>
    <t>+1-415-317-8830</t>
  </si>
  <si>
    <t>+1-425-660-3609</t>
  </si>
  <si>
    <t>833-73-8746</t>
  </si>
  <si>
    <t>https://cdn.singlesignal.com/photos/emp-0099.jpg</t>
  </si>
  <si>
    <t>https://www.linkedin.com/in/jasmine-marh-99</t>
  </si>
  <si>
    <t>EMP-0100</t>
  </si>
  <si>
    <t>Elpida</t>
  </si>
  <si>
    <t>Ouali</t>
  </si>
  <si>
    <t>Elpida Ouali</t>
  </si>
  <si>
    <t>elpida.ouali@singlesignal.com</t>
  </si>
  <si>
    <t>+1-415-728-1512</t>
  </si>
  <si>
    <t>+1-404-326-9931</t>
  </si>
  <si>
    <t>748-34-3362</t>
  </si>
  <si>
    <t>https://cdn.singlesignal.com/photos/emp-0100.jpg</t>
  </si>
  <si>
    <t>https://www.linkedin.com/in/elpida-ouali-100</t>
  </si>
  <si>
    <t>EMP-0101</t>
  </si>
  <si>
    <t>Liam</t>
  </si>
  <si>
    <t>Pearson</t>
  </si>
  <si>
    <t>Liam Pearson</t>
  </si>
  <si>
    <t>liam.pearson@singlesignal.com</t>
  </si>
  <si>
    <t>+1-415-650-4671</t>
  </si>
  <si>
    <t>+1-917-917-3699</t>
  </si>
  <si>
    <t>338-46-7768</t>
  </si>
  <si>
    <t>https://cdn.singlesignal.com/photos/emp-0101.jpg</t>
  </si>
  <si>
    <t>https://www.linkedin.com/in/liam-pearson-101</t>
  </si>
  <si>
    <t>EMP-0102</t>
  </si>
  <si>
    <t>Njeri</t>
  </si>
  <si>
    <t>Al-Masri</t>
  </si>
  <si>
    <t>Njeri Al-Masri</t>
  </si>
  <si>
    <t>njeri.al-masri@singlesignal.com</t>
  </si>
  <si>
    <t>+1-415-667-9996</t>
  </si>
  <si>
    <t>+1-917-612-9160</t>
  </si>
  <si>
    <t>568-53-6793</t>
  </si>
  <si>
    <t>https://cdn.singlesignal.com/photos/emp-0102.jpg</t>
  </si>
  <si>
    <t>https://www.linkedin.com/in/njeri-al-masri-102</t>
  </si>
  <si>
    <t>EMP-0103</t>
  </si>
  <si>
    <t>Zacchaeus</t>
  </si>
  <si>
    <t>Baker</t>
  </si>
  <si>
    <t>Zacchaeus Baker</t>
  </si>
  <si>
    <t>zacchaeus.baker@singlesignal.com</t>
  </si>
  <si>
    <t>+1-206-722-3276</t>
  </si>
  <si>
    <t>+1-720-772-9217</t>
  </si>
  <si>
    <t>108-62-5393</t>
  </si>
  <si>
    <t>https://cdn.singlesignal.com/photos/emp-0103.jpg</t>
  </si>
  <si>
    <t>https://www.linkedin.com/in/zacchaeus-baker-103</t>
  </si>
  <si>
    <t>EMP-0104</t>
  </si>
  <si>
    <t>Zaida</t>
  </si>
  <si>
    <t>Coutanche</t>
  </si>
  <si>
    <t>Zaida Coutanche</t>
  </si>
  <si>
    <t>zaida.coutanche@singlesignal.com</t>
  </si>
  <si>
    <t>+1-415-891-8653</t>
  </si>
  <si>
    <t>+1-408-565-1957</t>
  </si>
  <si>
    <t>871-60-1817</t>
  </si>
  <si>
    <t>https://cdn.singlesignal.com/photos/emp-0104.jpg</t>
  </si>
  <si>
    <t>https://www.linkedin.com/in/zaida-coutanche-104</t>
  </si>
  <si>
    <t>EMP-0105</t>
  </si>
  <si>
    <t>Catalina</t>
  </si>
  <si>
    <t>Henderson</t>
  </si>
  <si>
    <t>Catalina Henderson</t>
  </si>
  <si>
    <t>catalina.henderson@singlesignal.com</t>
  </si>
  <si>
    <t>+1-415-493-3163</t>
  </si>
  <si>
    <t>+1-917-505-8527</t>
  </si>
  <si>
    <t>516-67-1085</t>
  </si>
  <si>
    <t>https://cdn.singlesignal.com/photos/emp-0105.jpg</t>
  </si>
  <si>
    <t>https://www.linkedin.com/in/catalina-henderson-105</t>
  </si>
  <si>
    <t>EMP-0106</t>
  </si>
  <si>
    <t>Héctor</t>
  </si>
  <si>
    <t>Carles</t>
  </si>
  <si>
    <t>Héctor Carles</t>
  </si>
  <si>
    <t>héctor.carles@singlesignal.com</t>
  </si>
  <si>
    <t>+1-415-665-2378</t>
  </si>
  <si>
    <t>+1-425-830-2792</t>
  </si>
  <si>
    <t>115-94-4698</t>
  </si>
  <si>
    <t>https://cdn.singlesignal.com/photos/emp-0106.jpg</t>
  </si>
  <si>
    <t>https://www.linkedin.com/in/hctor-carles-106</t>
  </si>
  <si>
    <t>EMP-0107</t>
  </si>
  <si>
    <t>Gloria</t>
  </si>
  <si>
    <t>Slim</t>
  </si>
  <si>
    <t>Gloria Slim</t>
  </si>
  <si>
    <t>gloria.slim@singlesignal.com</t>
  </si>
  <si>
    <t>+1-415-473-8326</t>
  </si>
  <si>
    <t>+1-720-443-9728</t>
  </si>
  <si>
    <t>884-36-4303</t>
  </si>
  <si>
    <t>https://cdn.singlesignal.com/photos/emp-0107.jpg</t>
  </si>
  <si>
    <t>https://www.linkedin.com/in/gloria-slim-107</t>
  </si>
  <si>
    <t>EMP-0108</t>
  </si>
  <si>
    <t>Francis</t>
  </si>
  <si>
    <t>Spencer</t>
  </si>
  <si>
    <t>Francis Spencer</t>
  </si>
  <si>
    <t>francis.spencer@singlesignal.com</t>
  </si>
  <si>
    <t>+1-415-685-2245</t>
  </si>
  <si>
    <t>+1-404-931-6072</t>
  </si>
  <si>
    <t>666-76-6645</t>
  </si>
  <si>
    <t>https://cdn.singlesignal.com/photos/emp-0108.jpg</t>
  </si>
  <si>
    <t>https://www.linkedin.com/in/francis-spencer-108</t>
  </si>
  <si>
    <t>EMP-0109</t>
  </si>
  <si>
    <t>Nakakande</t>
  </si>
  <si>
    <t>Đinh</t>
  </si>
  <si>
    <t>Nakakande Đinh</t>
  </si>
  <si>
    <t>nakakande.đinh@singlesignal.com</t>
  </si>
  <si>
    <t>+1-415-724-3386</t>
  </si>
  <si>
    <t>+1-404-504-7618</t>
  </si>
  <si>
    <t>213-43-7631</t>
  </si>
  <si>
    <t>https://cdn.singlesignal.com/photos/emp-0109.jpg</t>
  </si>
  <si>
    <t>https://www.linkedin.com/in/nakakande-inh-109</t>
  </si>
  <si>
    <t>EMP-0110</t>
  </si>
  <si>
    <t>Farhan</t>
  </si>
  <si>
    <t>Evangelou</t>
  </si>
  <si>
    <t>Farhan Evangelou</t>
  </si>
  <si>
    <t>farhan.evangelou@singlesignal.com</t>
  </si>
  <si>
    <t>+1-305-639-2163</t>
  </si>
  <si>
    <t>+1-404-816-6259</t>
  </si>
  <si>
    <t>742 Evergreen Terrace</t>
  </si>
  <si>
    <t>Springfield</t>
  </si>
  <si>
    <t>OR</t>
  </si>
  <si>
    <t>662-98-8250</t>
  </si>
  <si>
    <t>https://cdn.singlesignal.com/photos/emp-0110.jpg</t>
  </si>
  <si>
    <t>https://www.linkedin.com/in/farhan-evangelou-110</t>
  </si>
  <si>
    <t>EMP-0111</t>
  </si>
  <si>
    <t>Sadiya</t>
  </si>
  <si>
    <t>Tamme</t>
  </si>
  <si>
    <t>Sadiya Tamme</t>
  </si>
  <si>
    <t>sadiya.tamme@singlesignal.com</t>
  </si>
  <si>
    <t>+1-646-466-5328</t>
  </si>
  <si>
    <t>+1-425-954-3582</t>
  </si>
  <si>
    <t>281-85-2776</t>
  </si>
  <si>
    <t>https://cdn.singlesignal.com/photos/emp-0111.jpg</t>
  </si>
  <si>
    <t>https://www.linkedin.com/in/sadiya-tamme-111</t>
  </si>
  <si>
    <t>EMP-0112</t>
  </si>
  <si>
    <t>Frederick</t>
  </si>
  <si>
    <t>Bailey</t>
  </si>
  <si>
    <t>Frederick Bailey</t>
  </si>
  <si>
    <t>frederick.bailey@singlesignal.com</t>
  </si>
  <si>
    <t>+353-1-2628408</t>
  </si>
  <si>
    <t>+353-87-2601587</t>
  </si>
  <si>
    <t>147-14-5954</t>
  </si>
  <si>
    <t>https://cdn.singlesignal.com/photos/emp-0112.jpg</t>
  </si>
  <si>
    <t>https://www.linkedin.com/in/frederick-bailey-112</t>
  </si>
  <si>
    <t>EMP-0113</t>
  </si>
  <si>
    <t>Marwa</t>
  </si>
  <si>
    <t>Claesson</t>
  </si>
  <si>
    <t>Marwa Claesson</t>
  </si>
  <si>
    <t>marwa.claesson@singlesignal.com</t>
  </si>
  <si>
    <t>+1-415-624-5669</t>
  </si>
  <si>
    <t>+1-425-594-7537</t>
  </si>
  <si>
    <t>890-88-5594</t>
  </si>
  <si>
    <t>https://cdn.singlesignal.com/photos/emp-0113.jpg</t>
  </si>
  <si>
    <t>https://www.linkedin.com/in/marwa-claesson-113</t>
  </si>
  <si>
    <t>EMP-0114</t>
  </si>
  <si>
    <t>Gonzalo</t>
  </si>
  <si>
    <t>Marinič</t>
  </si>
  <si>
    <t>Gonzalo Marinič</t>
  </si>
  <si>
    <t>gonzalo.marinič@singlesignal.com</t>
  </si>
  <si>
    <t>+1-646-357-4654</t>
  </si>
  <si>
    <t>+1-408-313-7417</t>
  </si>
  <si>
    <t>849-55-3452</t>
  </si>
  <si>
    <t>https://cdn.singlesignal.com/photos/emp-0114.jpg</t>
  </si>
  <si>
    <t>https://www.linkedin.com/in/gonzalo-marini-114</t>
  </si>
  <si>
    <t>EMP-0115</t>
  </si>
  <si>
    <t>Cho</t>
  </si>
  <si>
    <t>Essoo</t>
  </si>
  <si>
    <t>Cho Essoo</t>
  </si>
  <si>
    <t>cho.essoo@singlesignal.com</t>
  </si>
  <si>
    <t>+1-415-205-3296</t>
  </si>
  <si>
    <t>+1-404-833-6360</t>
  </si>
  <si>
    <t>866-36-9142</t>
  </si>
  <si>
    <t>https://cdn.singlesignal.com/photos/emp-0115.jpg</t>
  </si>
  <si>
    <t>https://www.linkedin.com/in/cho-essoo-115</t>
  </si>
  <si>
    <t>EMP-0116</t>
  </si>
  <si>
    <t>Samuel</t>
  </si>
  <si>
    <t>Lamy</t>
  </si>
  <si>
    <t>Samuel Lamy</t>
  </si>
  <si>
    <t>samuel.lamy@singlesignal.com</t>
  </si>
  <si>
    <t>+353-1-2835429</t>
  </si>
  <si>
    <t>+353-87-2614590</t>
  </si>
  <si>
    <t>527-67-3188</t>
  </si>
  <si>
    <t>https://cdn.singlesignal.com/photos/emp-0116.jpg</t>
  </si>
  <si>
    <t>https://www.linkedin.com/in/samuel-lamy-116</t>
  </si>
  <si>
    <t>EMP-0117</t>
  </si>
  <si>
    <t>Tetiana</t>
  </si>
  <si>
    <t>Keo</t>
  </si>
  <si>
    <t>Tetiana Keo</t>
  </si>
  <si>
    <t>tetiana.keo@singlesignal.com</t>
  </si>
  <si>
    <t>+1-415-232-8964</t>
  </si>
  <si>
    <t>+1-917-771-8287</t>
  </si>
  <si>
    <t>198-64-6681</t>
  </si>
  <si>
    <t>https://cdn.singlesignal.com/photos/emp-0117.jpg</t>
  </si>
  <si>
    <t>https://www.linkedin.com/in/tetiana-keo-117</t>
  </si>
  <si>
    <t>EMP-0118</t>
  </si>
  <si>
    <t>Nehemiah</t>
  </si>
  <si>
    <t>Mandili</t>
  </si>
  <si>
    <t>Nehemiah Mandili</t>
  </si>
  <si>
    <t>nehemiah.mandili@singlesignal.com</t>
  </si>
  <si>
    <t>+1-415-343-7111</t>
  </si>
  <si>
    <t>+1-510-309-3217</t>
  </si>
  <si>
    <t>861-32-8843</t>
  </si>
  <si>
    <t>https://cdn.singlesignal.com/photos/emp-0118.jpg</t>
  </si>
  <si>
    <t>https://www.linkedin.com/in/nehemiah-mandili-118</t>
  </si>
  <si>
    <t>EMP-0119</t>
  </si>
  <si>
    <t>Jazmín</t>
  </si>
  <si>
    <t>Cardoso</t>
  </si>
  <si>
    <t>Jazmín Cardoso</t>
  </si>
  <si>
    <t>jazmín.cardoso@singlesignal.com</t>
  </si>
  <si>
    <t>+1-415-484-8348</t>
  </si>
  <si>
    <t>+1-510-460-7042</t>
  </si>
  <si>
    <t>721-60-5926</t>
  </si>
  <si>
    <t>https://cdn.singlesignal.com/photos/emp-0119.jpg</t>
  </si>
  <si>
    <t>https://www.linkedin.com/in/jazmn-cardoso-119</t>
  </si>
  <si>
    <t>EMP-0120</t>
  </si>
  <si>
    <t>Ludovic</t>
  </si>
  <si>
    <t>Jorge</t>
  </si>
  <si>
    <t>Ludovic Jorge</t>
  </si>
  <si>
    <t>ludovic.jorge@singlesignal.com</t>
  </si>
  <si>
    <t>+1-646-736-3279</t>
  </si>
  <si>
    <t>+1-408-496-8783</t>
  </si>
  <si>
    <t>207-61-9311</t>
  </si>
  <si>
    <t>https://cdn.singlesignal.com/photos/emp-0120.jpg</t>
  </si>
  <si>
    <t>https://www.linkedin.com/in/ludovic-jorge-120</t>
  </si>
  <si>
    <t>EMP-0121</t>
  </si>
  <si>
    <t>Xiuxiu</t>
  </si>
  <si>
    <t>Tamagnini</t>
  </si>
  <si>
    <t>Xiuxiu Tamagnini</t>
  </si>
  <si>
    <t>xiuxiu.tamagnini@singlesignal.com</t>
  </si>
  <si>
    <t>+1-312-789-4916</t>
  </si>
  <si>
    <t>+1-425-370-9755</t>
  </si>
  <si>
    <t>352-43-7666</t>
  </si>
  <si>
    <t>https://cdn.singlesignal.com/photos/emp-0121.jpg</t>
  </si>
  <si>
    <t>https://www.linkedin.com/in/xiuxiu-tamagnini-121</t>
  </si>
  <si>
    <t>EMP-0122</t>
  </si>
  <si>
    <t>Lipman</t>
  </si>
  <si>
    <t>Rashid Lipman</t>
  </si>
  <si>
    <t>rashid.lipman@singlesignal.com</t>
  </si>
  <si>
    <t>+1-415-491-8099</t>
  </si>
  <si>
    <t>+1-425-394-7621</t>
  </si>
  <si>
    <t>107-37-5286</t>
  </si>
  <si>
    <t>https://cdn.singlesignal.com/photos/emp-0122.jpg</t>
  </si>
  <si>
    <t>https://www.linkedin.com/in/rashid-lipman-122</t>
  </si>
  <si>
    <t>EMP-0123</t>
  </si>
  <si>
    <t>Russell</t>
  </si>
  <si>
    <t>Dillenburg</t>
  </si>
  <si>
    <t>Russell Dillenburg</t>
  </si>
  <si>
    <t>russell.dillenburg@singlesignal.com</t>
  </si>
  <si>
    <t>+1-206-387-9828</t>
  </si>
  <si>
    <t>+1-408-398-7531</t>
  </si>
  <si>
    <t>295-94-8474</t>
  </si>
  <si>
    <t>https://cdn.singlesignal.com/photos/emp-0123.jpg</t>
  </si>
  <si>
    <t>https://www.linkedin.com/in/russell-dillenburg-123</t>
  </si>
  <si>
    <t>EMP-0124</t>
  </si>
  <si>
    <t>Judith</t>
  </si>
  <si>
    <t>Zhordania</t>
  </si>
  <si>
    <t>Judith Zhordania</t>
  </si>
  <si>
    <t>judith.zhordania@singlesignal.com</t>
  </si>
  <si>
    <t>+353-1-2639096</t>
  </si>
  <si>
    <t>+353-87-2393444</t>
  </si>
  <si>
    <t>576-11-3907</t>
  </si>
  <si>
    <t>https://cdn.singlesignal.com/photos/emp-0124.jpg</t>
  </si>
  <si>
    <t>https://www.linkedin.com/in/judith-zhordania-124</t>
  </si>
  <si>
    <t>EMP-0125</t>
  </si>
  <si>
    <t>Sitiveni</t>
  </si>
  <si>
    <t>Mazamba</t>
  </si>
  <si>
    <t>Sitiveni Mazamba</t>
  </si>
  <si>
    <t>sitiveni.mazamba@singlesignal.com</t>
  </si>
  <si>
    <t>+1-415-635-6053</t>
  </si>
  <si>
    <t>+1-510-829-4175</t>
  </si>
  <si>
    <t>383-78-2915</t>
  </si>
  <si>
    <t>https://cdn.singlesignal.com/photos/emp-0125.jpg</t>
  </si>
  <si>
    <t>https://www.linkedin.com/in/sitiveni-mazamba-125</t>
  </si>
  <si>
    <t>EMP-0126</t>
  </si>
  <si>
    <t>Tiffany</t>
  </si>
  <si>
    <t>Novák</t>
  </si>
  <si>
    <t>Tiffany Novák</t>
  </si>
  <si>
    <t>tiffany.novák@singlesignal.com</t>
  </si>
  <si>
    <t>+1-415-875-3513</t>
  </si>
  <si>
    <t>+1-425-700-5833</t>
  </si>
  <si>
    <t>603-52-6562</t>
  </si>
  <si>
    <t>https://cdn.singlesignal.com/photos/emp-0126.jpg</t>
  </si>
  <si>
    <t>https://www.linkedin.com/in/tiffany-novk-126</t>
  </si>
  <si>
    <t>EMP-0127</t>
  </si>
  <si>
    <t>Dzintars</t>
  </si>
  <si>
    <t>Santos</t>
  </si>
  <si>
    <t>Dzintars Santos</t>
  </si>
  <si>
    <t>dzintars.santos@singlesignal.com</t>
  </si>
  <si>
    <t>+1-646-375-9866</t>
  </si>
  <si>
    <t>+1-425-929-5830</t>
  </si>
  <si>
    <t>697-12-3347</t>
  </si>
  <si>
    <t>https://cdn.singlesignal.com/photos/emp-0127.jpg</t>
  </si>
  <si>
    <t>https://www.linkedin.com/in/dzintars-santos-127</t>
  </si>
  <si>
    <t>EMP-0128</t>
  </si>
  <si>
    <t>Milda</t>
  </si>
  <si>
    <t>Louis-Jean</t>
  </si>
  <si>
    <t>Milda Louis-Jean</t>
  </si>
  <si>
    <t>milda.louis-jean@singlesignal.com</t>
  </si>
  <si>
    <t>+1-415-871-8382</t>
  </si>
  <si>
    <t>+1-917-417-4018</t>
  </si>
  <si>
    <t>228-37-5923</t>
  </si>
  <si>
    <t>https://cdn.singlesignal.com/photos/emp-0128.jpg</t>
  </si>
  <si>
    <t>https://www.linkedin.com/in/milda-louis-jean-128</t>
  </si>
  <si>
    <t>EMP-0129</t>
  </si>
  <si>
    <t>Manana</t>
  </si>
  <si>
    <t>Pierce</t>
  </si>
  <si>
    <t>Manana Pierce</t>
  </si>
  <si>
    <t>manana.pierce@singlesignal.com</t>
  </si>
  <si>
    <t>+1-646-595-8980</t>
  </si>
  <si>
    <t>+1-425-397-7652</t>
  </si>
  <si>
    <t>628-16-9107</t>
  </si>
  <si>
    <t>https://cdn.singlesignal.com/photos/emp-0129.jpg</t>
  </si>
  <si>
    <t>https://www.linkedin.com/in/manana-pierce-129</t>
  </si>
  <si>
    <t>EMP-0130</t>
  </si>
  <si>
    <t>Arnošt</t>
  </si>
  <si>
    <t>Ganerdene</t>
  </si>
  <si>
    <t>Arnošt Ganerdene</t>
  </si>
  <si>
    <t>arnošt.ganerdene@singlesignal.com</t>
  </si>
  <si>
    <t>+353-1-2947862</t>
  </si>
  <si>
    <t>+353-87-2708796</t>
  </si>
  <si>
    <t>636-13-8273</t>
  </si>
  <si>
    <t>https://cdn.singlesignal.com/photos/emp-0130.jpg</t>
  </si>
  <si>
    <t>https://www.linkedin.com/in/arnot-ganerdene-130</t>
  </si>
  <si>
    <t>EMP-0131</t>
  </si>
  <si>
    <t>Linda</t>
  </si>
  <si>
    <t>Thomsen</t>
  </si>
  <si>
    <t>Linda Thomsen</t>
  </si>
  <si>
    <t>linda.thomsen@singlesignal.com</t>
  </si>
  <si>
    <t>+1-305-883-9556</t>
  </si>
  <si>
    <t>+1-510-220-6961</t>
  </si>
  <si>
    <t>742-26-4823</t>
  </si>
  <si>
    <t>https://cdn.singlesignal.com/photos/emp-0131.jpg</t>
  </si>
  <si>
    <t>https://www.linkedin.com/in/linda-thomsen-131</t>
  </si>
  <si>
    <t>EMP-0132</t>
  </si>
  <si>
    <t>Eugeniusz</t>
  </si>
  <si>
    <t>El Adib</t>
  </si>
  <si>
    <t>Eugeniusz El Adib</t>
  </si>
  <si>
    <t>eugeniusz.el.adib@singlesignal.com</t>
  </si>
  <si>
    <t>+1-415-759-9526</t>
  </si>
  <si>
    <t>+1-510-804-6237</t>
  </si>
  <si>
    <t>397-19-4469</t>
  </si>
  <si>
    <t>https://cdn.singlesignal.com/photos/emp-0132.jpg</t>
  </si>
  <si>
    <t>https://www.linkedin.com/in/eugeniusz-eladib-132</t>
  </si>
  <si>
    <t>EMP-0133</t>
  </si>
  <si>
    <t>Mateo</t>
  </si>
  <si>
    <t>Thomas</t>
  </si>
  <si>
    <t>Mateo Thomas</t>
  </si>
  <si>
    <t>mateo.thomas@singlesignal.com</t>
  </si>
  <si>
    <t>+1-646-689-1117</t>
  </si>
  <si>
    <t>+1-404-995-5008</t>
  </si>
  <si>
    <t>714-94-3663</t>
  </si>
  <si>
    <t>https://cdn.singlesignal.com/photos/emp-0133.jpg</t>
  </si>
  <si>
    <t>https://www.linkedin.com/in/mateo-thomas-133</t>
  </si>
  <si>
    <t>EMP-0134</t>
  </si>
  <si>
    <t>Eric</t>
  </si>
  <si>
    <t>Vitry</t>
  </si>
  <si>
    <t>Eric Vitry</t>
  </si>
  <si>
    <t>eric.vitry@singlesignal.com</t>
  </si>
  <si>
    <t>+1-415-464-3876</t>
  </si>
  <si>
    <t>+1-408-253-4242</t>
  </si>
  <si>
    <t>885-39-6288</t>
  </si>
  <si>
    <t>https://cdn.singlesignal.com/photos/emp-0134.jpg</t>
  </si>
  <si>
    <t>https://www.linkedin.com/in/eric-vitry-134</t>
  </si>
  <si>
    <t>EMP-0135</t>
  </si>
  <si>
    <t>Myrto</t>
  </si>
  <si>
    <t>Lăng</t>
  </si>
  <si>
    <t>Myrto Lăng</t>
  </si>
  <si>
    <t>myrto.lăng@singlesignal.com</t>
  </si>
  <si>
    <t>+1-415-413-5057</t>
  </si>
  <si>
    <t>+1-720-597-6557</t>
  </si>
  <si>
    <t>369-89-3799</t>
  </si>
  <si>
    <t>https://cdn.singlesignal.com/photos/emp-0135.jpg</t>
  </si>
  <si>
    <t>https://www.linkedin.com/in/myrto-lng-135</t>
  </si>
  <si>
    <t>EMP-0136</t>
  </si>
  <si>
    <t>Elena</t>
  </si>
  <si>
    <t>Woźniak</t>
  </si>
  <si>
    <t>Elena Woźniak</t>
  </si>
  <si>
    <t>elena.woźniak@singlesignal.com</t>
  </si>
  <si>
    <t>+1-617-918-9203</t>
  </si>
  <si>
    <t>+1-720-421-2041</t>
  </si>
  <si>
    <t>416-56-6067</t>
  </si>
  <si>
    <t>https://cdn.singlesignal.com/photos/emp-0136.jpg</t>
  </si>
  <si>
    <t>https://www.linkedin.com/in/elena-woniak-136</t>
  </si>
  <si>
    <t>EMP-0137</t>
  </si>
  <si>
    <t>Magige</t>
  </si>
  <si>
    <t>Zokou</t>
  </si>
  <si>
    <t>Magige Zokou</t>
  </si>
  <si>
    <t>magige.zokou@singlesignal.com</t>
  </si>
  <si>
    <t>+1-646-962-6823</t>
  </si>
  <si>
    <t>+1-917-356-9319</t>
  </si>
  <si>
    <t>334-94-6799</t>
  </si>
  <si>
    <t>https://cdn.singlesignal.com/photos/emp-0137.jpg</t>
  </si>
  <si>
    <t>https://www.linkedin.com/in/magige-zokou-137</t>
  </si>
  <si>
    <t>EMP-0138</t>
  </si>
  <si>
    <t>Valerie</t>
  </si>
  <si>
    <t>Reyes</t>
  </si>
  <si>
    <t>Valerie Reyes</t>
  </si>
  <si>
    <t>valerie.reyes@singlesignal.com</t>
  </si>
  <si>
    <t>+1-646-959-9711</t>
  </si>
  <si>
    <t>+1-720-738-7687</t>
  </si>
  <si>
    <t>195-55-6572</t>
  </si>
  <si>
    <t>https://cdn.singlesignal.com/photos/emp-0138.jpg</t>
  </si>
  <si>
    <t>https://www.linkedin.com/in/valerie-reyes-138</t>
  </si>
  <si>
    <t>EMP-0139</t>
  </si>
  <si>
    <t>Noy</t>
  </si>
  <si>
    <t>Bennett</t>
  </si>
  <si>
    <t>Noy Bennett</t>
  </si>
  <si>
    <t>noy.bennett@singlesignal.com</t>
  </si>
  <si>
    <t>+353-1-2382253</t>
  </si>
  <si>
    <t>+353-87-2474106</t>
  </si>
  <si>
    <t>674-57-6235</t>
  </si>
  <si>
    <t>https://cdn.singlesignal.com/photos/emp-0139.jpg</t>
  </si>
  <si>
    <t>https://www.linkedin.com/in/noy-bennett-139</t>
  </si>
  <si>
    <t>EMP-0140</t>
  </si>
  <si>
    <t>Kyaw</t>
  </si>
  <si>
    <t>Kibe</t>
  </si>
  <si>
    <t>Kyaw Kibe</t>
  </si>
  <si>
    <t>kyaw.kibe@singlesignal.com</t>
  </si>
  <si>
    <t>+1-646-945-9358</t>
  </si>
  <si>
    <t>+1-720-746-4439</t>
  </si>
  <si>
    <t>763-32-5599</t>
  </si>
  <si>
    <t>https://cdn.singlesignal.com/photos/emp-0140.jpg</t>
  </si>
  <si>
    <t>https://www.linkedin.com/in/kyaw-kibe-140</t>
  </si>
  <si>
    <t>EMP-0141</t>
  </si>
  <si>
    <t>Susan</t>
  </si>
  <si>
    <t>Bazin</t>
  </si>
  <si>
    <t>Susan Bazin</t>
  </si>
  <si>
    <t>susan.bazin@singlesignal.com</t>
  </si>
  <si>
    <t>+1-415-479-1979</t>
  </si>
  <si>
    <t>+1-408-311-9106</t>
  </si>
  <si>
    <t>512-57-3321</t>
  </si>
  <si>
    <t>https://cdn.singlesignal.com/photos/emp-0141.jpg</t>
  </si>
  <si>
    <t>https://www.linkedin.com/in/susan-bazin-141</t>
  </si>
  <si>
    <t>EMP-0142</t>
  </si>
  <si>
    <t>Danielle</t>
  </si>
  <si>
    <t>Wawrzyniak</t>
  </si>
  <si>
    <t>Danielle Wawrzyniak</t>
  </si>
  <si>
    <t>danielle.wawrzyniak@singlesignal.com</t>
  </si>
  <si>
    <t>+1-415-802-6247</t>
  </si>
  <si>
    <t>+1-408-443-6377</t>
  </si>
  <si>
    <t>439-37-9650</t>
  </si>
  <si>
    <t>https://cdn.singlesignal.com/photos/emp-0142.jpg</t>
  </si>
  <si>
    <t>https://www.linkedin.com/in/danielle-wawrzyniak-142</t>
  </si>
  <si>
    <t>EMP-0143</t>
  </si>
  <si>
    <t>Geetha</t>
  </si>
  <si>
    <t>Al-Kathiri</t>
  </si>
  <si>
    <t>Geetha Al-Kathiri</t>
  </si>
  <si>
    <t>geetha.al-kathiri@singlesignal.com</t>
  </si>
  <si>
    <t>+1-415-748-7422</t>
  </si>
  <si>
    <t>+1-720-681-3182</t>
  </si>
  <si>
    <t>438-70-9055</t>
  </si>
  <si>
    <t>https://cdn.singlesignal.com/photos/emp-0143.jpg</t>
  </si>
  <si>
    <t>https://www.linkedin.com/in/geetha-al-kathiri-143</t>
  </si>
  <si>
    <t>EMP-0144</t>
  </si>
  <si>
    <t>Bernoussi</t>
  </si>
  <si>
    <t>Joseph Bernoussi</t>
  </si>
  <si>
    <t>joseph.bernoussi@singlesignal.com</t>
  </si>
  <si>
    <t>+1-617-864-9356</t>
  </si>
  <si>
    <t>+1-510-221-6052</t>
  </si>
  <si>
    <t>156-56-8782</t>
  </si>
  <si>
    <t>https://cdn.singlesignal.com/photos/emp-0144.jpg</t>
  </si>
  <si>
    <t>https://www.linkedin.com/in/joseph-bernoussi-144</t>
  </si>
  <si>
    <t>EMP-0145</t>
  </si>
  <si>
    <t>Ryan</t>
  </si>
  <si>
    <t>Temari</t>
  </si>
  <si>
    <t>Ryan Temari</t>
  </si>
  <si>
    <t>ryan.temari@singlesignal.com</t>
  </si>
  <si>
    <t>+1-415-915-8548</t>
  </si>
  <si>
    <t>+1-408-489-2450</t>
  </si>
  <si>
    <t>281-36-1470</t>
  </si>
  <si>
    <t>https://cdn.singlesignal.com/photos/emp-0145.jpg</t>
  </si>
  <si>
    <t>https://www.linkedin.com/in/ryan-temari-145</t>
  </si>
  <si>
    <t>EMP-0146</t>
  </si>
  <si>
    <t>Richard</t>
  </si>
  <si>
    <t>Msuya</t>
  </si>
  <si>
    <t>Richard Msuya</t>
  </si>
  <si>
    <t>richard.msuya@singlesignal.com</t>
  </si>
  <si>
    <t>+1-415-430-1151</t>
  </si>
  <si>
    <t>+1-720-932-5068</t>
  </si>
  <si>
    <t>806-37-6770</t>
  </si>
  <si>
    <t>https://cdn.singlesignal.com/photos/emp-0146.jpg</t>
  </si>
  <si>
    <t>https://www.linkedin.com/in/richard-msuya-146</t>
  </si>
  <si>
    <t>EMP-0147</t>
  </si>
  <si>
    <t>Norman</t>
  </si>
  <si>
    <t>Harris</t>
  </si>
  <si>
    <t>Norman Harris</t>
  </si>
  <si>
    <t>norman.harris@singlesignal.com</t>
  </si>
  <si>
    <t>+1-503-615-4837</t>
  </si>
  <si>
    <t>+1-510-262-7363</t>
  </si>
  <si>
    <t>620-71-3401</t>
  </si>
  <si>
    <t>https://cdn.singlesignal.com/photos/emp-0147.jpg</t>
  </si>
  <si>
    <t>https://www.linkedin.com/in/norman-harris-147</t>
  </si>
  <si>
    <t>EMP-0148</t>
  </si>
  <si>
    <t>Raudha</t>
  </si>
  <si>
    <t>Hamilton</t>
  </si>
  <si>
    <t>Raudha Hamilton</t>
  </si>
  <si>
    <t>raudha.hamilton@singlesignal.com</t>
  </si>
  <si>
    <t>+353-1-2501885</t>
  </si>
  <si>
    <t>+353-87-2518475</t>
  </si>
  <si>
    <t>702-29-6179</t>
  </si>
  <si>
    <t>https://cdn.singlesignal.com/photos/emp-0148.jpg</t>
  </si>
  <si>
    <t>https://www.linkedin.com/in/raudha-hamilton-148</t>
  </si>
  <si>
    <t>EMP-0149</t>
  </si>
  <si>
    <t>Voveris</t>
  </si>
  <si>
    <t>Alexander Voveris</t>
  </si>
  <si>
    <t>alexander.voveris@singlesignal.com</t>
  </si>
  <si>
    <t>+1-415-828-3756</t>
  </si>
  <si>
    <t>+1-917-835-2984</t>
  </si>
  <si>
    <t>418-91-2400</t>
  </si>
  <si>
    <t>https://cdn.singlesignal.com/photos/emp-0149.jpg</t>
  </si>
  <si>
    <t>https://www.linkedin.com/in/alexander-voveris-149</t>
  </si>
  <si>
    <t>EMP-0150</t>
  </si>
  <si>
    <t>Karen</t>
  </si>
  <si>
    <t>Lome</t>
  </si>
  <si>
    <t>Karen Lome</t>
  </si>
  <si>
    <t>karen.lome@singlesignal.com</t>
  </si>
  <si>
    <t>+1-415-429-7408</t>
  </si>
  <si>
    <t>+1-404-363-9677</t>
  </si>
  <si>
    <t>615-94-2203</t>
  </si>
  <si>
    <t>https://cdn.singlesignal.com/photos/emp-0150.jpg</t>
  </si>
  <si>
    <t>https://www.linkedin.com/in/karen-lome-150</t>
  </si>
  <si>
    <t>EMP-0151</t>
  </si>
  <si>
    <t>Kevin</t>
  </si>
  <si>
    <t>Shine</t>
  </si>
  <si>
    <t>Kevin Shine</t>
  </si>
  <si>
    <t>kevin.shine@singlesignal.com</t>
  </si>
  <si>
    <t>+353-1-2038135</t>
  </si>
  <si>
    <t>+353-87-2660301</t>
  </si>
  <si>
    <t>284-38-3520</t>
  </si>
  <si>
    <t>https://cdn.singlesignal.com/photos/emp-0151.jpg</t>
  </si>
  <si>
    <t>https://www.linkedin.com/in/kevin-shine-151</t>
  </si>
  <si>
    <t>EMP-0152</t>
  </si>
  <si>
    <t>Kasymov</t>
  </si>
  <si>
    <t>Samuel Kasymov</t>
  </si>
  <si>
    <t>samuel.kasymov@singlesignal.com</t>
  </si>
  <si>
    <t>+1-415-636-9030</t>
  </si>
  <si>
    <t>+1-425-299-1537</t>
  </si>
  <si>
    <t>367-13-3637</t>
  </si>
  <si>
    <t>https://cdn.singlesignal.com/photos/emp-0152.jpg</t>
  </si>
  <si>
    <t>https://www.linkedin.com/in/samuel-kasymov-152</t>
  </si>
  <si>
    <t>EMP-0153</t>
  </si>
  <si>
    <t>Clément</t>
  </si>
  <si>
    <t>Greiveldinger</t>
  </si>
  <si>
    <t>Clément Greiveldinger</t>
  </si>
  <si>
    <t>clément.greiveldinger@singlesignal.com</t>
  </si>
  <si>
    <t>+1-415-750-6528</t>
  </si>
  <si>
    <t>+1-510-531-9690</t>
  </si>
  <si>
    <t>832-24-3240</t>
  </si>
  <si>
    <t>https://cdn.singlesignal.com/photos/emp-0153.jpg</t>
  </si>
  <si>
    <t>https://www.linkedin.com/in/clment-greiveldinger-153</t>
  </si>
  <si>
    <t>EMP-0154</t>
  </si>
  <si>
    <t>Lucie</t>
  </si>
  <si>
    <t>Hamissou</t>
  </si>
  <si>
    <t>Lucie Hamissou</t>
  </si>
  <si>
    <t>lucie.hamissou@singlesignal.com</t>
  </si>
  <si>
    <t>+1-503-951-8052</t>
  </si>
  <si>
    <t>+1-917-403-5847</t>
  </si>
  <si>
    <t>114-89-8139</t>
  </si>
  <si>
    <t>https://cdn.singlesignal.com/photos/emp-0154.jpg</t>
  </si>
  <si>
    <t>https://www.linkedin.com/in/lucie-hamissou-154</t>
  </si>
  <si>
    <t>EMP-0155</t>
  </si>
  <si>
    <t>Raymond</t>
  </si>
  <si>
    <t>Redžepagić</t>
  </si>
  <si>
    <t>Raymond Redžepagić</t>
  </si>
  <si>
    <t>raymond.redžepagić@singlesignal.com</t>
  </si>
  <si>
    <t>+353-1-2497107</t>
  </si>
  <si>
    <t>+353-87-2004014</t>
  </si>
  <si>
    <t>305-52-3241</t>
  </si>
  <si>
    <t>https://cdn.singlesignal.com/photos/emp-0155.jpg</t>
  </si>
  <si>
    <t>https://www.linkedin.com/in/raymond-redepagi-155</t>
  </si>
  <si>
    <t>EMP-0156</t>
  </si>
  <si>
    <t>Denis</t>
  </si>
  <si>
    <t>Carrasco</t>
  </si>
  <si>
    <t>Denis Carrasco</t>
  </si>
  <si>
    <t>denis.carrasco@singlesignal.com</t>
  </si>
  <si>
    <t>+1-617-883-3919</t>
  </si>
  <si>
    <t>+1-408-869-9097</t>
  </si>
  <si>
    <t>437-77-6370</t>
  </si>
  <si>
    <t>https://cdn.singlesignal.com/photos/emp-0156.jpg</t>
  </si>
  <si>
    <t>https://www.linkedin.com/in/denis-carrasco-156</t>
  </si>
  <si>
    <t>EMP-0157</t>
  </si>
  <si>
    <t>Panyin</t>
  </si>
  <si>
    <t>Ismailov</t>
  </si>
  <si>
    <t>Panyin Ismailov</t>
  </si>
  <si>
    <t>panyin.ismailov@singlesignal.com</t>
  </si>
  <si>
    <t>+1-646-486-2093</t>
  </si>
  <si>
    <t>+1-720-706-8421</t>
  </si>
  <si>
    <t>492-26-8034</t>
  </si>
  <si>
    <t>https://cdn.singlesignal.com/photos/emp-0157.jpg</t>
  </si>
  <si>
    <t>https://www.linkedin.com/in/panyin-ismailov-157</t>
  </si>
  <si>
    <t>EMP-0158</t>
  </si>
  <si>
    <t>Rajesh</t>
  </si>
  <si>
    <t>Köprülü</t>
  </si>
  <si>
    <t>Rajesh Köprülü</t>
  </si>
  <si>
    <t>rajesh.köprülü@singlesignal.com</t>
  </si>
  <si>
    <t>+1-415-525-7466</t>
  </si>
  <si>
    <t>+1-720-886-8928</t>
  </si>
  <si>
    <t>888-57-5597</t>
  </si>
  <si>
    <t>https://cdn.singlesignal.com/photos/emp-0158.jpg</t>
  </si>
  <si>
    <t>https://www.linkedin.com/in/rajesh-kprl-158</t>
  </si>
  <si>
    <t>EMP-0159</t>
  </si>
  <si>
    <t>Natalie</t>
  </si>
  <si>
    <t>Haoda</t>
  </si>
  <si>
    <t>Natalie Haoda</t>
  </si>
  <si>
    <t>natalie.haoda@singlesignal.com</t>
  </si>
  <si>
    <t>+353-1-2704366</t>
  </si>
  <si>
    <t>+353-87-2386255</t>
  </si>
  <si>
    <t>882-30-7457</t>
  </si>
  <si>
    <t>https://cdn.singlesignal.com/photos/emp-0159.jpg</t>
  </si>
  <si>
    <t>https://www.linkedin.com/in/natalie-haoda-159</t>
  </si>
  <si>
    <t>EMP-0160</t>
  </si>
  <si>
    <t>Natalya</t>
  </si>
  <si>
    <t>Al-Hajj</t>
  </si>
  <si>
    <t>Natalya Al-Hajj</t>
  </si>
  <si>
    <t>natalya.al-hajj@singlesignal.com</t>
  </si>
  <si>
    <t>+1-415-991-7293</t>
  </si>
  <si>
    <t>+1-425-537-8997</t>
  </si>
  <si>
    <t>526-25-8789</t>
  </si>
  <si>
    <t>https://cdn.singlesignal.com/photos/emp-0160.jpg</t>
  </si>
  <si>
    <t>https://www.linkedin.com/in/natalya-al-hajj-160</t>
  </si>
  <si>
    <t>EMP-0161</t>
  </si>
  <si>
    <t>Ryong-sung</t>
  </si>
  <si>
    <t>Carr</t>
  </si>
  <si>
    <t>Ryong-sung Carr</t>
  </si>
  <si>
    <t>ryong-sung.carr@singlesignal.com</t>
  </si>
  <si>
    <t>+1-646-965-8588</t>
  </si>
  <si>
    <t>+1-510-382-9365</t>
  </si>
  <si>
    <t>130-42-4456</t>
  </si>
  <si>
    <t>https://cdn.singlesignal.com/photos/emp-0161.jpg</t>
  </si>
  <si>
    <t>https://www.linkedin.com/in/ryong-sung-carr-161</t>
  </si>
  <si>
    <t>EMP-0162</t>
  </si>
  <si>
    <t>Forward</t>
  </si>
  <si>
    <t>Lauridsen</t>
  </si>
  <si>
    <t>Forward Lauridsen</t>
  </si>
  <si>
    <t>forward.lauridsen@singlesignal.com</t>
  </si>
  <si>
    <t>+353-1-2851104</t>
  </si>
  <si>
    <t>+353-87-2002863</t>
  </si>
  <si>
    <t>409-94-8467</t>
  </si>
  <si>
    <t>https://cdn.singlesignal.com/photos/emp-0162.jpg</t>
  </si>
  <si>
    <t>https://www.linkedin.com/in/forward-lauridsen-162</t>
  </si>
  <si>
    <t>EMP-0163</t>
  </si>
  <si>
    <t>Barbare</t>
  </si>
  <si>
    <t>Skifte</t>
  </si>
  <si>
    <t>Barbare Skifte</t>
  </si>
  <si>
    <t>barbare.skifte@singlesignal.com</t>
  </si>
  <si>
    <t>+1-617-368-5737</t>
  </si>
  <si>
    <t>+1-425-422-8720</t>
  </si>
  <si>
    <t>502-73-6879</t>
  </si>
  <si>
    <t>https://cdn.singlesignal.com/photos/emp-0163.jpg</t>
  </si>
  <si>
    <t>https://www.linkedin.com/in/barbare-skifte-163</t>
  </si>
  <si>
    <t>EMP-0164</t>
  </si>
  <si>
    <t>Dennis</t>
  </si>
  <si>
    <t>Miranda</t>
  </si>
  <si>
    <t>Dennis Miranda</t>
  </si>
  <si>
    <t>dennis.miranda@singlesignal.com</t>
  </si>
  <si>
    <t>+1-415-656-5684</t>
  </si>
  <si>
    <t>+1-917-405-8298</t>
  </si>
  <si>
    <t>202-45-7738</t>
  </si>
  <si>
    <t>https://cdn.singlesignal.com/photos/emp-0164.jpg</t>
  </si>
  <si>
    <t>https://www.linkedin.com/in/dennis-miranda-164</t>
  </si>
  <si>
    <t>EMP-0165</t>
  </si>
  <si>
    <t>Thương</t>
  </si>
  <si>
    <t>Skúlason</t>
  </si>
  <si>
    <t>Thương Skúlason</t>
  </si>
  <si>
    <t>thương.skúlason@singlesignal.com</t>
  </si>
  <si>
    <t>+1-646-910-4276</t>
  </si>
  <si>
    <t>+1-404-304-6749</t>
  </si>
  <si>
    <t>513-51-1717</t>
  </si>
  <si>
    <t>https://cdn.singlesignal.com/photos/emp-0165.jpg</t>
  </si>
  <si>
    <t>https://www.linkedin.com/in/thng-sklason-165</t>
  </si>
  <si>
    <t>EMP-0166</t>
  </si>
  <si>
    <t>Svetlana</t>
  </si>
  <si>
    <t>Jones</t>
  </si>
  <si>
    <t>Svetlana Jones</t>
  </si>
  <si>
    <t>svetlana.jones@singlesignal.com</t>
  </si>
  <si>
    <t>+1-415-937-5225</t>
  </si>
  <si>
    <t>+1-408-318-9503</t>
  </si>
  <si>
    <t>504-51-9369</t>
  </si>
  <si>
    <t>https://cdn.singlesignal.com/photos/emp-0166.jpg</t>
  </si>
  <si>
    <t>https://www.linkedin.com/in/svetlana-jones-166</t>
  </si>
  <si>
    <t>EMP-0167</t>
  </si>
  <si>
    <t>Izzah Insyirah</t>
  </si>
  <si>
    <t>Faragó</t>
  </si>
  <si>
    <t>Izzah Insyirah Faragó</t>
  </si>
  <si>
    <t>izzah.insyirah.faragó@singlesignal.com</t>
  </si>
  <si>
    <t>+1-646-658-5308</t>
  </si>
  <si>
    <t>+1-425-387-1846</t>
  </si>
  <si>
    <t>656-44-1368</t>
  </si>
  <si>
    <t>https://cdn.singlesignal.com/photos/emp-0167.jpg</t>
  </si>
  <si>
    <t>https://www.linkedin.com/in/izzahinsyirah-farag-167</t>
  </si>
  <si>
    <t>EMP-0168</t>
  </si>
  <si>
    <t>Maria</t>
  </si>
  <si>
    <t>Barrios</t>
  </si>
  <si>
    <t>Maria Barrios</t>
  </si>
  <si>
    <t>maria.barrios@singlesignal.com</t>
  </si>
  <si>
    <t>+1-503-900-6621</t>
  </si>
  <si>
    <t>+1-510-306-4430</t>
  </si>
  <si>
    <t>357-34-7615</t>
  </si>
  <si>
    <t>https://cdn.singlesignal.com/photos/emp-0168.jpg</t>
  </si>
  <si>
    <t>https://www.linkedin.com/in/maria-barrios-168</t>
  </si>
  <si>
    <t>EMP-0169</t>
  </si>
  <si>
    <t>Haldar</t>
  </si>
  <si>
    <t>Rose Haldar</t>
  </si>
  <si>
    <t>rose.haldar@singlesignal.com</t>
  </si>
  <si>
    <t>+1-415-990-3108</t>
  </si>
  <si>
    <t>+1-408-222-8664</t>
  </si>
  <si>
    <t>106-86-8875</t>
  </si>
  <si>
    <t>https://cdn.singlesignal.com/photos/emp-0169.jpg</t>
  </si>
  <si>
    <t>https://www.linkedin.com/in/rose-haldar-169</t>
  </si>
  <si>
    <t>EMP-0170</t>
  </si>
  <si>
    <t>Olivia</t>
  </si>
  <si>
    <t>Danko</t>
  </si>
  <si>
    <t>Olivia Danko</t>
  </si>
  <si>
    <t>olivia.danko@singlesignal.com</t>
  </si>
  <si>
    <t>+1-206-384-8982</t>
  </si>
  <si>
    <t>+1-510-768-8832</t>
  </si>
  <si>
    <t>199-81-2352</t>
  </si>
  <si>
    <t>https://cdn.singlesignal.com/photos/emp-0170.jpg</t>
  </si>
  <si>
    <t>https://www.linkedin.com/in/olivia-danko-170</t>
  </si>
  <si>
    <t>EMP-0171</t>
  </si>
  <si>
    <t>Akwasi</t>
  </si>
  <si>
    <t>Ahmed</t>
  </si>
  <si>
    <t>Akwasi Ahmed</t>
  </si>
  <si>
    <t>akwasi.ahmed@singlesignal.com</t>
  </si>
  <si>
    <t>+1-415-559-4264</t>
  </si>
  <si>
    <t>+1-408-235-7257</t>
  </si>
  <si>
    <t>405-42-2055</t>
  </si>
  <si>
    <t>https://cdn.singlesignal.com/photos/emp-0171.jpg</t>
  </si>
  <si>
    <t>https://www.linkedin.com/in/akwasi-ahmed-171</t>
  </si>
  <si>
    <t>EMP-0172</t>
  </si>
  <si>
    <t>Ssentongo</t>
  </si>
  <si>
    <t>Maina</t>
  </si>
  <si>
    <t>Ssentongo Maina</t>
  </si>
  <si>
    <t>ssentongo.maina@singlesignal.com</t>
  </si>
  <si>
    <t>+1-415-601-8999</t>
  </si>
  <si>
    <t>+1-917-974-1020</t>
  </si>
  <si>
    <t>730-95-6567</t>
  </si>
  <si>
    <t>https://cdn.singlesignal.com/photos/emp-0172.jpg</t>
  </si>
  <si>
    <t>https://www.linkedin.com/in/ssentongo-maina-172</t>
  </si>
  <si>
    <t>EMP-0173</t>
  </si>
  <si>
    <t>Cyprien</t>
  </si>
  <si>
    <t>Yumani</t>
  </si>
  <si>
    <t>Cyprien Yumani</t>
  </si>
  <si>
    <t>cyprien.yumani@singlesignal.com</t>
  </si>
  <si>
    <t>+1-646-732-9514</t>
  </si>
  <si>
    <t>+1-510-866-9421</t>
  </si>
  <si>
    <t>326-11-2864</t>
  </si>
  <si>
    <t>https://cdn.singlesignal.com/photos/emp-0173.jpg</t>
  </si>
  <si>
    <t>https://www.linkedin.com/in/cyprien-yumani-173</t>
  </si>
  <si>
    <t>EMP-0174</t>
  </si>
  <si>
    <t>Hyo-jin</t>
  </si>
  <si>
    <t>Rakotomaharo</t>
  </si>
  <si>
    <t>Hyo-jin Rakotomaharo</t>
  </si>
  <si>
    <t>hyo-jin.rakotomaharo@singlesignal.com</t>
  </si>
  <si>
    <t>+1-206-946-9370</t>
  </si>
  <si>
    <t>+1-404-444-8500</t>
  </si>
  <si>
    <t>889-51-3419</t>
  </si>
  <si>
    <t>https://cdn.singlesignal.com/photos/emp-0174.jpg</t>
  </si>
  <si>
    <t>https://www.linkedin.com/in/hyo-jin-rakotomaharo-174</t>
  </si>
  <si>
    <t>EMP-0175</t>
  </si>
  <si>
    <t>Shushan</t>
  </si>
  <si>
    <t>Gasser</t>
  </si>
  <si>
    <t>Shushan Gasser</t>
  </si>
  <si>
    <t>shushan.gasser@singlesignal.com</t>
  </si>
  <si>
    <t>+1-415-794-4480</t>
  </si>
  <si>
    <t>+1-720-695-9302</t>
  </si>
  <si>
    <t>642-95-5389</t>
  </si>
  <si>
    <t>https://cdn.singlesignal.com/photos/emp-0175.jpg</t>
  </si>
  <si>
    <t>https://www.linkedin.com/in/shushan-gasser-175</t>
  </si>
  <si>
    <t>EMP-0176</t>
  </si>
  <si>
    <t>Aslène</t>
  </si>
  <si>
    <t>Hughes</t>
  </si>
  <si>
    <t>Aslène Hughes</t>
  </si>
  <si>
    <t>aslène.hughes@singlesignal.com</t>
  </si>
  <si>
    <t>+1-305-361-4487</t>
  </si>
  <si>
    <t>+1-510-844-7953</t>
  </si>
  <si>
    <t>818-37-2257</t>
  </si>
  <si>
    <t>https://cdn.singlesignal.com/photos/emp-0176.jpg</t>
  </si>
  <si>
    <t>https://www.linkedin.com/in/aslne-hughes-176</t>
  </si>
  <si>
    <t>EMP-0177</t>
  </si>
  <si>
    <t>Ruqayyah</t>
  </si>
  <si>
    <t>Vidović</t>
  </si>
  <si>
    <t>Ruqayyah Vidović</t>
  </si>
  <si>
    <t>ruqayyah.vidović@singlesignal.com</t>
  </si>
  <si>
    <t>+1-415-392-5980</t>
  </si>
  <si>
    <t>+1-720-978-8987</t>
  </si>
  <si>
    <t>409-78-5529</t>
  </si>
  <si>
    <t>https://cdn.singlesignal.com/photos/emp-0177.jpg</t>
  </si>
  <si>
    <t>https://www.linkedin.com/in/ruqayyah-vidovi-177</t>
  </si>
  <si>
    <t>EMP-0178</t>
  </si>
  <si>
    <t>Kyi</t>
  </si>
  <si>
    <t>Tokaiono</t>
  </si>
  <si>
    <t>Kyi Tokaiono</t>
  </si>
  <si>
    <t>kyi.tokaiono@singlesignal.com</t>
  </si>
  <si>
    <t>+1-312-635-9834</t>
  </si>
  <si>
    <t>+1-917-588-4603</t>
  </si>
  <si>
    <t>376-77-2757</t>
  </si>
  <si>
    <t>https://cdn.singlesignal.com/photos/emp-0178.jpg</t>
  </si>
  <si>
    <t>https://www.linkedin.com/in/kyi-tokaiono-178</t>
  </si>
  <si>
    <t>EMP-0179</t>
  </si>
  <si>
    <t>Zoey</t>
  </si>
  <si>
    <t>Guerrero</t>
  </si>
  <si>
    <t>Zoey Guerrero</t>
  </si>
  <si>
    <t>zoey.guerrero@singlesignal.com</t>
  </si>
  <si>
    <t>+1-646-762-6178</t>
  </si>
  <si>
    <t>+1-404-283-8239</t>
  </si>
  <si>
    <t>834-23-3222</t>
  </si>
  <si>
    <t>https://cdn.singlesignal.com/photos/emp-0179.jpg</t>
  </si>
  <si>
    <t>https://www.linkedin.com/in/zoey-guerrero-179</t>
  </si>
  <si>
    <t>EMP-0180</t>
  </si>
  <si>
    <t>Rongo</t>
  </si>
  <si>
    <t>Darsières</t>
  </si>
  <si>
    <t>Rongo Darsières</t>
  </si>
  <si>
    <t>rongo.darsières@singlesignal.com</t>
  </si>
  <si>
    <t>+1-503-985-2285</t>
  </si>
  <si>
    <t>+1-917-501-1967</t>
  </si>
  <si>
    <t>632-87-2447</t>
  </si>
  <si>
    <t>https://cdn.singlesignal.com/photos/emp-0180.jpg</t>
  </si>
  <si>
    <t>https://www.linkedin.com/in/rongo-darsires-180</t>
  </si>
  <si>
    <t>EMP-0181</t>
  </si>
  <si>
    <t>Lulwa</t>
  </si>
  <si>
    <t>Malan</t>
  </si>
  <si>
    <t>Lulwa Malan</t>
  </si>
  <si>
    <t>lulwa.malan@singlesignal.com</t>
  </si>
  <si>
    <t>+1-312-972-4156</t>
  </si>
  <si>
    <t>+1-425-450-8783</t>
  </si>
  <si>
    <t>836-41-5533</t>
  </si>
  <si>
    <t>https://cdn.singlesignal.com/photos/emp-0181.jpg</t>
  </si>
  <si>
    <t>https://www.linkedin.com/in/lulwa-malan-181</t>
  </si>
  <si>
    <t>EMP-0182</t>
  </si>
  <si>
    <t>Åse</t>
  </si>
  <si>
    <t>McKay</t>
  </si>
  <si>
    <t>Åse McKay</t>
  </si>
  <si>
    <t>åse.mckay@singlesignal.com</t>
  </si>
  <si>
    <t>+353-1-2887878</t>
  </si>
  <si>
    <t>+353-87-2535075</t>
  </si>
  <si>
    <t>400-27-7524</t>
  </si>
  <si>
    <t>https://cdn.singlesignal.com/photos/emp-0182.jpg</t>
  </si>
  <si>
    <t>https://www.linkedin.com/in/se-mckay-182</t>
  </si>
  <si>
    <t>EMP-0183</t>
  </si>
  <si>
    <t>Cirino</t>
  </si>
  <si>
    <t>Jorge Cirino</t>
  </si>
  <si>
    <t>jorge.cirino@singlesignal.com</t>
  </si>
  <si>
    <t>+1-646-378-5298</t>
  </si>
  <si>
    <t>+1-510-358-6401</t>
  </si>
  <si>
    <t>672-59-6779</t>
  </si>
  <si>
    <t>https://cdn.singlesignal.com/photos/emp-0183.jpg</t>
  </si>
  <si>
    <t>https://www.linkedin.com/in/jorge-cirino-183</t>
  </si>
  <si>
    <t>EMP-0184</t>
  </si>
  <si>
    <t>Sandra</t>
  </si>
  <si>
    <t>Kmeť</t>
  </si>
  <si>
    <t>Sandra Kmeť</t>
  </si>
  <si>
    <t>sandra.kmeť@singlesignal.com</t>
  </si>
  <si>
    <t>+1-415-589-3979</t>
  </si>
  <si>
    <t>+1-408-568-1530</t>
  </si>
  <si>
    <t>816-67-1504</t>
  </si>
  <si>
    <t>https://cdn.singlesignal.com/photos/emp-0184.jpg</t>
  </si>
  <si>
    <t>https://www.linkedin.com/in/sandra-kme-184</t>
  </si>
  <si>
    <t>EMP-0185</t>
  </si>
  <si>
    <t>Majid</t>
  </si>
  <si>
    <t>Kayastha</t>
  </si>
  <si>
    <t>Majid Kayastha</t>
  </si>
  <si>
    <t>majid.kayastha@singlesignal.com</t>
  </si>
  <si>
    <t>+1-646-283-5903</t>
  </si>
  <si>
    <t>+1-510-545-6731</t>
  </si>
  <si>
    <t>155-88-8300</t>
  </si>
  <si>
    <t>https://cdn.singlesignal.com/photos/emp-0185.jpg</t>
  </si>
  <si>
    <t>https://www.linkedin.com/in/majid-kayastha-185</t>
  </si>
  <si>
    <t>EMP-0186</t>
  </si>
  <si>
    <t>Anastasia</t>
  </si>
  <si>
    <t>Maharaj</t>
  </si>
  <si>
    <t>Anastasia Maharaj</t>
  </si>
  <si>
    <t>anastasia.maharaj@singlesignal.com</t>
  </si>
  <si>
    <t>+1-206-941-6391</t>
  </si>
  <si>
    <t>+1-720-218-1310</t>
  </si>
  <si>
    <t>324-86-4224</t>
  </si>
  <si>
    <t>https://cdn.singlesignal.com/photos/emp-0186.jpg</t>
  </si>
  <si>
    <t>https://www.linkedin.com/in/anastasia-maharaj-186</t>
  </si>
  <si>
    <t>EMP-0187</t>
  </si>
  <si>
    <t>Sebastián</t>
  </si>
  <si>
    <t>Mbele</t>
  </si>
  <si>
    <t>Sebastián Mbele</t>
  </si>
  <si>
    <t>sebastián.mbele@singlesignal.com</t>
  </si>
  <si>
    <t>+1-415-789-6277</t>
  </si>
  <si>
    <t>+1-917-879-7756</t>
  </si>
  <si>
    <t>418-64-3092</t>
  </si>
  <si>
    <t>https://cdn.singlesignal.com/photos/emp-0187.jpg</t>
  </si>
  <si>
    <t>https://www.linkedin.com/in/sebastin-mbele-187</t>
  </si>
  <si>
    <t>EMP-0188</t>
  </si>
  <si>
    <t>Luis</t>
  </si>
  <si>
    <t>Engberg</t>
  </si>
  <si>
    <t>Luis Engberg</t>
  </si>
  <si>
    <t>luis.engberg@singlesignal.com</t>
  </si>
  <si>
    <t>+1-415-296-2106</t>
  </si>
  <si>
    <t>+1-917-865-6683</t>
  </si>
  <si>
    <t>275-15-9631</t>
  </si>
  <si>
    <t>https://cdn.singlesignal.com/photos/emp-0188.jpg</t>
  </si>
  <si>
    <t>https://www.linkedin.com/in/luis-engberg-188</t>
  </si>
  <si>
    <t>EMP-0189</t>
  </si>
  <si>
    <t>Ida</t>
  </si>
  <si>
    <t>Haraldsdóttir</t>
  </si>
  <si>
    <t>Ida Haraldsdóttir</t>
  </si>
  <si>
    <t>ida.haraldsdóttir@singlesignal.com</t>
  </si>
  <si>
    <t>+1-503-628-8234</t>
  </si>
  <si>
    <t>+1-917-693-9319</t>
  </si>
  <si>
    <t>281-23-6738</t>
  </si>
  <si>
    <t>https://cdn.singlesignal.com/photos/emp-0189.jpg</t>
  </si>
  <si>
    <t>https://www.linkedin.com/in/ida-haraldsdttir-189</t>
  </si>
  <si>
    <t>EMP-0190</t>
  </si>
  <si>
    <t>Osman</t>
  </si>
  <si>
    <t>Weekes</t>
  </si>
  <si>
    <t>Osman Weekes</t>
  </si>
  <si>
    <t>osman.weekes@singlesignal.com</t>
  </si>
  <si>
    <t>+1-415-492-5556</t>
  </si>
  <si>
    <t>+1-408-872-6464</t>
  </si>
  <si>
    <t>129-59-1452</t>
  </si>
  <si>
    <t>https://cdn.singlesignal.com/photos/emp-0190.jpg</t>
  </si>
  <si>
    <t>https://www.linkedin.com/in/osman-weekes-190</t>
  </si>
  <si>
    <t>EMP-0191</t>
  </si>
  <si>
    <t>Margaret</t>
  </si>
  <si>
    <t>Łuczak</t>
  </si>
  <si>
    <t>Margaret Łuczak</t>
  </si>
  <si>
    <t>margaret.łuczak@singlesignal.com</t>
  </si>
  <si>
    <t>+1-646-241-2546</t>
  </si>
  <si>
    <t>+1-917-433-6115</t>
  </si>
  <si>
    <t>636-29-8667</t>
  </si>
  <si>
    <t>https://cdn.singlesignal.com/photos/emp-0191.jpg</t>
  </si>
  <si>
    <t>https://www.linkedin.com/in/margaret-uczak-191</t>
  </si>
  <si>
    <t>EMP-0192</t>
  </si>
  <si>
    <t>Eugene</t>
  </si>
  <si>
    <t>Sinanan</t>
  </si>
  <si>
    <t>Eugene Sinanan</t>
  </si>
  <si>
    <t>eugene.sinanan@singlesignal.com</t>
  </si>
  <si>
    <t>+353-1-2778261</t>
  </si>
  <si>
    <t>+353-87-2086800</t>
  </si>
  <si>
    <t>795-59-4956</t>
  </si>
  <si>
    <t>https://cdn.singlesignal.com/photos/emp-0192.jpg</t>
  </si>
  <si>
    <t>https://www.linkedin.com/in/eugene-sinanan-192</t>
  </si>
  <si>
    <t>EMP-0193</t>
  </si>
  <si>
    <t>Angèle</t>
  </si>
  <si>
    <t>Sengdara</t>
  </si>
  <si>
    <t>Angèle Sengdara</t>
  </si>
  <si>
    <t>angèle.sengdara@singlesignal.com</t>
  </si>
  <si>
    <t>+1-415-931-1589</t>
  </si>
  <si>
    <t>+1-720-292-7146</t>
  </si>
  <si>
    <t>216-94-8829</t>
  </si>
  <si>
    <t>https://cdn.singlesignal.com/photos/emp-0193.jpg</t>
  </si>
  <si>
    <t>https://www.linkedin.com/in/angle-sengdara-193</t>
  </si>
  <si>
    <t>EMP-0194</t>
  </si>
  <si>
    <t>Sangeeta</t>
  </si>
  <si>
    <t>Thompson</t>
  </si>
  <si>
    <t>Sangeeta Thompson</t>
  </si>
  <si>
    <t>sangeeta.thompson@singlesignal.com</t>
  </si>
  <si>
    <t>+1-503-758-9853</t>
  </si>
  <si>
    <t>+1-425-294-4189</t>
  </si>
  <si>
    <t>207-37-8399</t>
  </si>
  <si>
    <t>https://cdn.singlesignal.com/photos/emp-0194.jpg</t>
  </si>
  <si>
    <t>https://www.linkedin.com/in/sangeeta-thompson-194</t>
  </si>
  <si>
    <t>EMP-0195</t>
  </si>
  <si>
    <t>Gisela</t>
  </si>
  <si>
    <t>Teivitu</t>
  </si>
  <si>
    <t>Gisela Teivitu</t>
  </si>
  <si>
    <t>gisela.teivitu@singlesignal.com</t>
  </si>
  <si>
    <t>+1-312-735-1755</t>
  </si>
  <si>
    <t>+1-720-759-7009</t>
  </si>
  <si>
    <t>747-10-8951</t>
  </si>
  <si>
    <t>https://cdn.singlesignal.com/photos/emp-0195.jpg</t>
  </si>
  <si>
    <t>https://www.linkedin.com/in/gisela-teivitu-195</t>
  </si>
  <si>
    <t>EMP-0196</t>
  </si>
  <si>
    <t>Abdulmalik</t>
  </si>
  <si>
    <t>Taher</t>
  </si>
  <si>
    <t>Abdulmalik Taher</t>
  </si>
  <si>
    <t>abdulmalik.taher@singlesignal.com</t>
  </si>
  <si>
    <t>+1-305-928-5250</t>
  </si>
  <si>
    <t>+1-425-330-8971</t>
  </si>
  <si>
    <t>653-64-4510</t>
  </si>
  <si>
    <t>https://cdn.singlesignal.com/photos/emp-0196.jpg</t>
  </si>
  <si>
    <t>https://www.linkedin.com/in/abdulmalik-taher-196</t>
  </si>
  <si>
    <t>EMP-0197</t>
  </si>
  <si>
    <t>Ernestine</t>
  </si>
  <si>
    <t>Ould Boubacar</t>
  </si>
  <si>
    <t>Ernestine Ould Boubacar</t>
  </si>
  <si>
    <t>ernestine.ould.boubacar@singlesignal.com</t>
  </si>
  <si>
    <t>+1-646-629-6184</t>
  </si>
  <si>
    <t>+1-720-545-5306</t>
  </si>
  <si>
    <t>280-79-7139</t>
  </si>
  <si>
    <t>https://cdn.singlesignal.com/photos/emp-0197.jpg</t>
  </si>
  <si>
    <t>https://www.linkedin.com/in/ernestine-ouldboubacar-197</t>
  </si>
  <si>
    <t>EMP-0198</t>
  </si>
  <si>
    <t>Elias</t>
  </si>
  <si>
    <t>Gondwe</t>
  </si>
  <si>
    <t>Elias Gondwe</t>
  </si>
  <si>
    <t>elias.gondwe@singlesignal.com</t>
  </si>
  <si>
    <t>+1-415-944-5830</t>
  </si>
  <si>
    <t>+1-408-753-1601</t>
  </si>
  <si>
    <t>841-95-6616</t>
  </si>
  <si>
    <t>https://cdn.singlesignal.com/photos/emp-0198.jpg</t>
  </si>
  <si>
    <t>https://www.linkedin.com/in/elias-gondwe-198</t>
  </si>
  <si>
    <t>EMP-0199</t>
  </si>
  <si>
    <t>Isaiah</t>
  </si>
  <si>
    <t>Fazlić</t>
  </si>
  <si>
    <t>Isaiah Fazlić</t>
  </si>
  <si>
    <t>isaiah.fazlić@singlesignal.com</t>
  </si>
  <si>
    <t>+1-415-657-4398</t>
  </si>
  <si>
    <t>+1-720-571-9979</t>
  </si>
  <si>
    <t>636-48-9413</t>
  </si>
  <si>
    <t>https://cdn.singlesignal.com/photos/emp-0199.jpg</t>
  </si>
  <si>
    <t>https://www.linkedin.com/in/isaiah-fazli-199</t>
  </si>
  <si>
    <t>EMP-0200</t>
  </si>
  <si>
    <t>Patrick</t>
  </si>
  <si>
    <t>Clark</t>
  </si>
  <si>
    <t>Patrick Clark</t>
  </si>
  <si>
    <t>patrick.clark@singlesignal.com</t>
  </si>
  <si>
    <t>+1-415-807-5850</t>
  </si>
  <si>
    <t>+1-917-246-1379</t>
  </si>
  <si>
    <t>807-44-4947</t>
  </si>
  <si>
    <t>https://cdn.singlesignal.com/photos/emp-0200.jpg</t>
  </si>
  <si>
    <t>https://www.linkedin.com/in/patrick-clark-200</t>
  </si>
  <si>
    <t>EMP-0201</t>
  </si>
  <si>
    <t>Jonathan</t>
  </si>
  <si>
    <t>Böhm</t>
  </si>
  <si>
    <t>Jonathan Böhm</t>
  </si>
  <si>
    <t>jonathan.böhm@singlesignal.com</t>
  </si>
  <si>
    <t>+1-646-241-8855</t>
  </si>
  <si>
    <t>+1-425-584-6744</t>
  </si>
  <si>
    <t>722-13-3057</t>
  </si>
  <si>
    <t>https://cdn.singlesignal.com/photos/emp-0201.jpg</t>
  </si>
  <si>
    <t>https://www.linkedin.com/in/jonathan-bhm-201</t>
  </si>
  <si>
    <t>EMP-0202</t>
  </si>
  <si>
    <t>Chi Wai</t>
  </si>
  <si>
    <t>Proeung</t>
  </si>
  <si>
    <t>Chi Wai Proeung</t>
  </si>
  <si>
    <t>chi.wai.proeung@singlesignal.com</t>
  </si>
  <si>
    <t>+1-646-746-2784</t>
  </si>
  <si>
    <t>+1-404-506-4967</t>
  </si>
  <si>
    <t>569-91-9228</t>
  </si>
  <si>
    <t>https://cdn.singlesignal.com/photos/emp-0202.jpg</t>
  </si>
  <si>
    <t>https://www.linkedin.com/in/chiwai-proeung-202</t>
  </si>
  <si>
    <t>EMP-0203</t>
  </si>
  <si>
    <t>Margit</t>
  </si>
  <si>
    <t>Derjacques</t>
  </si>
  <si>
    <t>Margit Derjacques</t>
  </si>
  <si>
    <t>margit.derjacques@singlesignal.com</t>
  </si>
  <si>
    <t>+1-646-940-2736</t>
  </si>
  <si>
    <t>+1-425-625-4404</t>
  </si>
  <si>
    <t>617-51-3109</t>
  </si>
  <si>
    <t>https://cdn.singlesignal.com/photos/emp-0203.jpg</t>
  </si>
  <si>
    <t>https://www.linkedin.com/in/margit-derjacques-203</t>
  </si>
  <si>
    <t>EMP-0204</t>
  </si>
  <si>
    <t>Sverrir</t>
  </si>
  <si>
    <t>Deguara</t>
  </si>
  <si>
    <t>Sverrir Deguara</t>
  </si>
  <si>
    <t>sverrir.deguara@singlesignal.com</t>
  </si>
  <si>
    <t>+1-415-245-6526</t>
  </si>
  <si>
    <t>+1-425-942-2660</t>
  </si>
  <si>
    <t>393-37-4819</t>
  </si>
  <si>
    <t>https://cdn.singlesignal.com/photos/emp-0204.jpg</t>
  </si>
  <si>
    <t>https://www.linkedin.com/in/sverrir-deguara-204</t>
  </si>
  <si>
    <t>EMP-0205</t>
  </si>
  <si>
    <t>Raphaël</t>
  </si>
  <si>
    <t>Sidibé</t>
  </si>
  <si>
    <t>Raphaël Sidibé</t>
  </si>
  <si>
    <t>raphaël.sidibé@singlesignal.com</t>
  </si>
  <si>
    <t>+353-1-2832748</t>
  </si>
  <si>
    <t>+353-87-2924939</t>
  </si>
  <si>
    <t>419-72-1306</t>
  </si>
  <si>
    <t>https://cdn.singlesignal.com/photos/emp-0205.jpg</t>
  </si>
  <si>
    <t>https://www.linkedin.com/in/raphal-sidib-205</t>
  </si>
  <si>
    <t>EMP-0206</t>
  </si>
  <si>
    <t>Catherine</t>
  </si>
  <si>
    <t>Hag</t>
  </si>
  <si>
    <t>Catherine Hag</t>
  </si>
  <si>
    <t>catherine.hag@singlesignal.com</t>
  </si>
  <si>
    <t>+1-646-704-5024</t>
  </si>
  <si>
    <t>+1-720-486-8894</t>
  </si>
  <si>
    <t>268-28-6790</t>
  </si>
  <si>
    <t>https://cdn.singlesignal.com/photos/emp-0206.jpg</t>
  </si>
  <si>
    <t>https://www.linkedin.com/in/catherine-hag-206</t>
  </si>
  <si>
    <t>EMP-0207</t>
  </si>
  <si>
    <t>Milagros</t>
  </si>
  <si>
    <t>Bakken</t>
  </si>
  <si>
    <t>Milagros Bakken</t>
  </si>
  <si>
    <t>milagros.bakken@singlesignal.com</t>
  </si>
  <si>
    <t>+1-646-948-7509</t>
  </si>
  <si>
    <t>+1-720-651-2017</t>
  </si>
  <si>
    <t>877-95-5728</t>
  </si>
  <si>
    <t>https://cdn.singlesignal.com/photos/emp-0207.jpg</t>
  </si>
  <si>
    <t>https://www.linkedin.com/in/milagros-bakken-207</t>
  </si>
  <si>
    <t>EMP-0208</t>
  </si>
  <si>
    <t>Olivier</t>
  </si>
  <si>
    <t>George</t>
  </si>
  <si>
    <t>Olivier George</t>
  </si>
  <si>
    <t>olivier.george@singlesignal.com</t>
  </si>
  <si>
    <t>+1-415-718-6011</t>
  </si>
  <si>
    <t>+1-425-922-3371</t>
  </si>
  <si>
    <t>460-41-9896</t>
  </si>
  <si>
    <t>https://cdn.singlesignal.com/photos/emp-0208.jpg</t>
  </si>
  <si>
    <t>https://www.linkedin.com/in/olivier-george-208</t>
  </si>
  <si>
    <t>EMP-0209</t>
  </si>
  <si>
    <t>Rachel</t>
  </si>
  <si>
    <t>Al-Ramadi</t>
  </si>
  <si>
    <t>Rachel Al-Ramadi</t>
  </si>
  <si>
    <t>rachel.al-ramadi@singlesignal.com</t>
  </si>
  <si>
    <t>+1-206-893-4202</t>
  </si>
  <si>
    <t>+1-404-289-3840</t>
  </si>
  <si>
    <t>280-79-5957</t>
  </si>
  <si>
    <t>https://cdn.singlesignal.com/photos/emp-0209.jpg</t>
  </si>
  <si>
    <t>https://www.linkedin.com/in/rachel-al-ramadi-209</t>
  </si>
  <si>
    <t>EMP-0210</t>
  </si>
  <si>
    <t>Alejandro</t>
  </si>
  <si>
    <t>Al Alawi</t>
  </si>
  <si>
    <t>Alejandro Al Alawi</t>
  </si>
  <si>
    <t>alejandro.al.alawi@singlesignal.com</t>
  </si>
  <si>
    <t>+1-415-226-7013</t>
  </si>
  <si>
    <t>+1-917-430-7537</t>
  </si>
  <si>
    <t>624-72-8344</t>
  </si>
  <si>
    <t>https://cdn.singlesignal.com/photos/emp-0210.jpg</t>
  </si>
  <si>
    <t>https://www.linkedin.com/in/alejandro-alalawi-210</t>
  </si>
  <si>
    <t>EMP-0211</t>
  </si>
  <si>
    <t>Howard</t>
  </si>
  <si>
    <t>Marku</t>
  </si>
  <si>
    <t>Howard Marku</t>
  </si>
  <si>
    <t>howard.marku@singlesignal.com</t>
  </si>
  <si>
    <t>+1-415-900-5624</t>
  </si>
  <si>
    <t>+1-720-785-1898</t>
  </si>
  <si>
    <t>382-97-8626</t>
  </si>
  <si>
    <t>https://cdn.singlesignal.com/photos/emp-0211.jpg</t>
  </si>
  <si>
    <t>https://www.linkedin.com/in/howard-marku-211</t>
  </si>
  <si>
    <t>EMP-0212</t>
  </si>
  <si>
    <t>Martine</t>
  </si>
  <si>
    <t>Pintér</t>
  </si>
  <si>
    <t>Martine Pintér</t>
  </si>
  <si>
    <t>martine.pintér@singlesignal.com</t>
  </si>
  <si>
    <t>+1-415-369-2832</t>
  </si>
  <si>
    <t>+1-408-207-6862</t>
  </si>
  <si>
    <t>614-28-2252</t>
  </si>
  <si>
    <t>https://cdn.singlesignal.com/photos/emp-0212.jpg</t>
  </si>
  <si>
    <t>https://www.linkedin.com/in/martine-pintr-212</t>
  </si>
  <si>
    <t>EMP-0213</t>
  </si>
  <si>
    <t>Lars</t>
  </si>
  <si>
    <t>Costea</t>
  </si>
  <si>
    <t>Lars Costea</t>
  </si>
  <si>
    <t>lars.costea@singlesignal.com</t>
  </si>
  <si>
    <t>+1-206-401-9382</t>
  </si>
  <si>
    <t>+1-510-962-8719</t>
  </si>
  <si>
    <t>685-59-3529</t>
  </si>
  <si>
    <t>https://cdn.singlesignal.com/photos/emp-0213.jpg</t>
  </si>
  <si>
    <t>https://www.linkedin.com/in/lars-costea-213</t>
  </si>
  <si>
    <t>EMP-0214</t>
  </si>
  <si>
    <t>Adama</t>
  </si>
  <si>
    <t>Purnomo</t>
  </si>
  <si>
    <t>Adama Purnomo</t>
  </si>
  <si>
    <t>adama.purnomo@singlesignal.com</t>
  </si>
  <si>
    <t>+1-415-694-9667</t>
  </si>
  <si>
    <t>+1-510-928-8385</t>
  </si>
  <si>
    <t>581-74-7229</t>
  </si>
  <si>
    <t>https://cdn.singlesignal.com/photos/emp-0214.jpg</t>
  </si>
  <si>
    <t>https://www.linkedin.com/in/adama-purnomo-214</t>
  </si>
  <si>
    <t>EMP-0215</t>
  </si>
  <si>
    <t>Namgay Dorji</t>
  </si>
  <si>
    <t>Namgay Dorji Miranda</t>
  </si>
  <si>
    <t>namgay.dorji.miranda@singlesignal.com</t>
  </si>
  <si>
    <t>+1-646-454-5811</t>
  </si>
  <si>
    <t>+1-720-971-5044</t>
  </si>
  <si>
    <t>459-40-7227</t>
  </si>
  <si>
    <t>https://cdn.singlesignal.com/photos/emp-0215.jpg</t>
  </si>
  <si>
    <t>https://www.linkedin.com/in/namgaydorji-miranda-215</t>
  </si>
  <si>
    <t>EMP-0216</t>
  </si>
  <si>
    <t>Anani</t>
  </si>
  <si>
    <t>Diabaté</t>
  </si>
  <si>
    <t>Anani Diabaté</t>
  </si>
  <si>
    <t>anani.diabaté@singlesignal.com</t>
  </si>
  <si>
    <t>+1-646-265-1035</t>
  </si>
  <si>
    <t>+1-510-461-8013</t>
  </si>
  <si>
    <t>695-15-9999</t>
  </si>
  <si>
    <t>https://cdn.singlesignal.com/photos/emp-0216.jpg</t>
  </si>
  <si>
    <t>https://www.linkedin.com/in/anani-diabat-216</t>
  </si>
  <si>
    <t>EMP-0217</t>
  </si>
  <si>
    <t>Keiji</t>
  </si>
  <si>
    <t>Figueroa</t>
  </si>
  <si>
    <t>Keiji Figueroa</t>
  </si>
  <si>
    <t>keiji.figueroa@singlesignal.com</t>
  </si>
  <si>
    <t>+1-646-463-9059</t>
  </si>
  <si>
    <t>+1-408-848-9713</t>
  </si>
  <si>
    <t>467-33-9680</t>
  </si>
  <si>
    <t>https://cdn.singlesignal.com/photos/emp-0217.jpg</t>
  </si>
  <si>
    <t>https://www.linkedin.com/in/keiji-figueroa-217</t>
  </si>
  <si>
    <t>EMP-0218</t>
  </si>
  <si>
    <t>Vaiala</t>
  </si>
  <si>
    <t>Khaya</t>
  </si>
  <si>
    <t>Vaiala Khaya</t>
  </si>
  <si>
    <t>vaiala.khaya@singlesignal.com</t>
  </si>
  <si>
    <t>+1-646-337-5704</t>
  </si>
  <si>
    <t>+1-404-826-7731</t>
  </si>
  <si>
    <t>835-50-6978</t>
  </si>
  <si>
    <t>https://cdn.singlesignal.com/photos/emp-0218.jpg</t>
  </si>
  <si>
    <t>https://www.linkedin.com/in/vaiala-khaya-218</t>
  </si>
  <si>
    <t>EMP-0219</t>
  </si>
  <si>
    <t>Rashed</t>
  </si>
  <si>
    <t>Baco</t>
  </si>
  <si>
    <t>Rashed Baco</t>
  </si>
  <si>
    <t>rashed.baco@singlesignal.com</t>
  </si>
  <si>
    <t>+1-617-491-2573</t>
  </si>
  <si>
    <t>+1-510-745-4894</t>
  </si>
  <si>
    <t>597-91-8077</t>
  </si>
  <si>
    <t>https://cdn.singlesignal.com/photos/emp-0219.jpg</t>
  </si>
  <si>
    <t>https://www.linkedin.com/in/rashed-baco-219</t>
  </si>
  <si>
    <t>EMP-0220</t>
  </si>
  <si>
    <t>Génesis</t>
  </si>
  <si>
    <t>Temirov</t>
  </si>
  <si>
    <t>Génesis Temirov</t>
  </si>
  <si>
    <t>génesis.temirov@singlesignal.com</t>
  </si>
  <si>
    <t>+1-617-644-9040</t>
  </si>
  <si>
    <t>+1-720-313-9052</t>
  </si>
  <si>
    <t>109-60-1130</t>
  </si>
  <si>
    <t>https://cdn.singlesignal.com/photos/emp-0220.jpg</t>
  </si>
  <si>
    <t>https://www.linkedin.com/in/gnesis-temirov-220</t>
  </si>
  <si>
    <t>EMP-0221</t>
  </si>
  <si>
    <t>Annamária</t>
  </si>
  <si>
    <t>Refael</t>
  </si>
  <si>
    <t>Annamária Refael</t>
  </si>
  <si>
    <t>annamária.refael@singlesignal.com</t>
  </si>
  <si>
    <t>+1-312-450-1801</t>
  </si>
  <si>
    <t>+1-510-200-5211</t>
  </si>
  <si>
    <t>838-97-8614</t>
  </si>
  <si>
    <t>https://cdn.singlesignal.com/photos/emp-0221.jpg</t>
  </si>
  <si>
    <t>https://www.linkedin.com/in/annamria-refael-221</t>
  </si>
  <si>
    <t>EMP-0222</t>
  </si>
  <si>
    <t>Segametsi</t>
  </si>
  <si>
    <t>Schramm</t>
  </si>
  <si>
    <t>Segametsi Schramm</t>
  </si>
  <si>
    <t>segametsi.schramm@singlesignal.com</t>
  </si>
  <si>
    <t>+1-646-816-4971</t>
  </si>
  <si>
    <t>+1-404-466-6803</t>
  </si>
  <si>
    <t>263-78-7391</t>
  </si>
  <si>
    <t>https://cdn.singlesignal.com/photos/emp-0222.jpg</t>
  </si>
  <si>
    <t>https://www.linkedin.com/in/segametsi-schramm-222</t>
  </si>
  <si>
    <t>EMP-0223</t>
  </si>
  <si>
    <t>Silje</t>
  </si>
  <si>
    <t>Salah</t>
  </si>
  <si>
    <t>Silje Salah</t>
  </si>
  <si>
    <t>silje.salah@singlesignal.com</t>
  </si>
  <si>
    <t>+1-415-835-6578</t>
  </si>
  <si>
    <t>+1-917-225-3489</t>
  </si>
  <si>
    <t>651-13-6944</t>
  </si>
  <si>
    <t>https://cdn.singlesignal.com/photos/emp-0223.jpg</t>
  </si>
  <si>
    <t>https://www.linkedin.com/in/silje-salah-223</t>
  </si>
  <si>
    <t>EMP-0224</t>
  </si>
  <si>
    <t>Simon</t>
  </si>
  <si>
    <t>Morales</t>
  </si>
  <si>
    <t>Simon Morales</t>
  </si>
  <si>
    <t>simon.morales@singlesignal.com</t>
  </si>
  <si>
    <t>+1-415-442-6434</t>
  </si>
  <si>
    <t>+1-404-676-7306</t>
  </si>
  <si>
    <t>751-76-2929</t>
  </si>
  <si>
    <t>https://cdn.singlesignal.com/photos/emp-0224.jpg</t>
  </si>
  <si>
    <t>https://www.linkedin.com/in/simon-morales-224</t>
  </si>
  <si>
    <t>EMP-0225</t>
  </si>
  <si>
    <t>Socheata</t>
  </si>
  <si>
    <t>Subramaniam</t>
  </si>
  <si>
    <t>Socheata Subramaniam</t>
  </si>
  <si>
    <t>socheata.subramaniam@singlesignal.com</t>
  </si>
  <si>
    <t>+1-415-451-2567</t>
  </si>
  <si>
    <t>+1-408-589-1760</t>
  </si>
  <si>
    <t>866-58-5815</t>
  </si>
  <si>
    <t>https://cdn.singlesignal.com/photos/emp-0225.jpg</t>
  </si>
  <si>
    <t>https://www.linkedin.com/in/socheata-subramaniam-225</t>
  </si>
  <si>
    <t>EMP-0226</t>
  </si>
  <si>
    <t>Damian</t>
  </si>
  <si>
    <t>Damayanthi</t>
  </si>
  <si>
    <t>Damian Damayanthi</t>
  </si>
  <si>
    <t>damian.damayanthi@singlesignal.com</t>
  </si>
  <si>
    <t>+1-503-605-2103</t>
  </si>
  <si>
    <t>+1-408-446-3152</t>
  </si>
  <si>
    <t>826-87-7957</t>
  </si>
  <si>
    <t>https://cdn.singlesignal.com/photos/emp-0226.jpg</t>
  </si>
  <si>
    <t>https://www.linkedin.com/in/damian-damayanthi-226</t>
  </si>
  <si>
    <t>EMP-0227</t>
  </si>
  <si>
    <t>Layla</t>
  </si>
  <si>
    <t>Rosario</t>
  </si>
  <si>
    <t>Layla Rosario</t>
  </si>
  <si>
    <t>layla.rosario@singlesignal.com</t>
  </si>
  <si>
    <t>+353-1-2300105</t>
  </si>
  <si>
    <t>+353-87-2418548</t>
  </si>
  <si>
    <t>620-16-5546</t>
  </si>
  <si>
    <t>https://cdn.singlesignal.com/photos/emp-0227.jpg</t>
  </si>
  <si>
    <t>https://www.linkedin.com/in/layla-rosario-227</t>
  </si>
  <si>
    <t>EMP-0228</t>
  </si>
  <si>
    <t>Athina</t>
  </si>
  <si>
    <t>Kritchai</t>
  </si>
  <si>
    <t>Athina Kritchai</t>
  </si>
  <si>
    <t>athina.kritchai@singlesignal.com</t>
  </si>
  <si>
    <t>+1-646-519-8549</t>
  </si>
  <si>
    <t>+1-720-592-2354</t>
  </si>
  <si>
    <t>851-79-8525</t>
  </si>
  <si>
    <t>https://cdn.singlesignal.com/photos/emp-0228.jpg</t>
  </si>
  <si>
    <t>https://www.linkedin.com/in/athina-kritchai-228</t>
  </si>
  <si>
    <t>EMP-0229</t>
  </si>
  <si>
    <t>Al Gurg</t>
  </si>
  <si>
    <t>Sofia Al Gurg</t>
  </si>
  <si>
    <t>sofia.al.gurg@singlesignal.com</t>
  </si>
  <si>
    <t>+1-415-638-1442</t>
  </si>
  <si>
    <t>+1-720-476-6383</t>
  </si>
  <si>
    <t>262-50-6659</t>
  </si>
  <si>
    <t>https://cdn.singlesignal.com/photos/emp-0229.jpg</t>
  </si>
  <si>
    <t>https://www.linkedin.com/in/sofia-algurg-229</t>
  </si>
  <si>
    <t>EMP-0230</t>
  </si>
  <si>
    <t>Jacob</t>
  </si>
  <si>
    <t>Kotenko</t>
  </si>
  <si>
    <t>Jacob Kotenko</t>
  </si>
  <si>
    <t>jacob.kotenko@singlesignal.com</t>
  </si>
  <si>
    <t>+1-415-692-3053</t>
  </si>
  <si>
    <t>+1-404-973-7235</t>
  </si>
  <si>
    <t>835-46-2678</t>
  </si>
  <si>
    <t>https://cdn.singlesignal.com/photos/emp-0230.jpg</t>
  </si>
  <si>
    <t>https://www.linkedin.com/in/jacob-kotenko-230</t>
  </si>
  <si>
    <t>EMP-0231</t>
  </si>
  <si>
    <t>Diane</t>
  </si>
  <si>
    <t>Awono</t>
  </si>
  <si>
    <t>Diane Awono</t>
  </si>
  <si>
    <t>diane.awono@singlesignal.com</t>
  </si>
  <si>
    <t>+1-646-829-9430</t>
  </si>
  <si>
    <t>+1-720-397-5237</t>
  </si>
  <si>
    <t>680-97-6891</t>
  </si>
  <si>
    <t>https://cdn.singlesignal.com/photos/emp-0231.jpg</t>
  </si>
  <si>
    <t>https://www.linkedin.com/in/diane-awono-231</t>
  </si>
  <si>
    <t>EMP-0232</t>
  </si>
  <si>
    <t>Suha</t>
  </si>
  <si>
    <t>Nystad</t>
  </si>
  <si>
    <t>Suha Nystad</t>
  </si>
  <si>
    <t>suha.nystad@singlesignal.com</t>
  </si>
  <si>
    <t>+1-617-695-5271</t>
  </si>
  <si>
    <t>+1-917-290-3544</t>
  </si>
  <si>
    <t>692-75-6765</t>
  </si>
  <si>
    <t>https://cdn.singlesignal.com/photos/emp-0232.jpg</t>
  </si>
  <si>
    <t>https://www.linkedin.com/in/suha-nystad-232</t>
  </si>
  <si>
    <t>EMP-0233</t>
  </si>
  <si>
    <t>Mila</t>
  </si>
  <si>
    <t>Ruwan</t>
  </si>
  <si>
    <t>Mila Ruwan</t>
  </si>
  <si>
    <t>mila.ruwan@singlesignal.com</t>
  </si>
  <si>
    <t>+1-646-442-1486</t>
  </si>
  <si>
    <t>+1-404-804-3631</t>
  </si>
  <si>
    <t>487-94-3132</t>
  </si>
  <si>
    <t>https://cdn.singlesignal.com/photos/emp-0233.jpg</t>
  </si>
  <si>
    <t>https://www.linkedin.com/in/mila-ruwan-233</t>
  </si>
  <si>
    <t>EMP-0234</t>
  </si>
  <si>
    <t>Rachel Samuel</t>
  </si>
  <si>
    <t>rachel.samuel@singlesignal.com</t>
  </si>
  <si>
    <t>+1-415-417-4716</t>
  </si>
  <si>
    <t>+1-404-380-7064</t>
  </si>
  <si>
    <t>536-25-2681</t>
  </si>
  <si>
    <t>https://cdn.singlesignal.com/photos/emp-0234.jpg</t>
  </si>
  <si>
    <t>https://www.linkedin.com/in/rachel-samuel-234</t>
  </si>
  <si>
    <t>EMP-0235</t>
  </si>
  <si>
    <t>Hannah</t>
  </si>
  <si>
    <t>Bartlett</t>
  </si>
  <si>
    <t>Hannah Bartlett</t>
  </si>
  <si>
    <t>hannah.bartlett@singlesignal.com</t>
  </si>
  <si>
    <t>+1-305-726-6252</t>
  </si>
  <si>
    <t>+1-720-830-9045</t>
  </si>
  <si>
    <t>744-80-1877</t>
  </si>
  <si>
    <t>https://cdn.singlesignal.com/photos/emp-0235.jpg</t>
  </si>
  <si>
    <t>https://www.linkedin.com/in/hannah-bartlett-235</t>
  </si>
  <si>
    <t>EMP-1001</t>
  </si>
  <si>
    <t>Morgan</t>
  </si>
  <si>
    <t>Morgan Lee</t>
  </si>
  <si>
    <t>morgan.lee@singlesignal.com</t>
  </si>
  <si>
    <t>+1-415-422-3458</t>
  </si>
  <si>
    <t>+1-720-626-4730</t>
  </si>
  <si>
    <t>Legal</t>
  </si>
  <si>
    <t>505-51-3819</t>
  </si>
  <si>
    <t>https://cdn.singlesignal.com/photos/emp-1001.jpg</t>
  </si>
  <si>
    <t>https://www.linkedin.com/in/morgan-lee-236</t>
  </si>
  <si>
    <t>EMP-1002</t>
  </si>
  <si>
    <t>Priya</t>
  </si>
  <si>
    <t>Narayanan</t>
  </si>
  <si>
    <t>Priya Narayanan</t>
  </si>
  <si>
    <t>priya.narayanan@singlesignal.com</t>
  </si>
  <si>
    <t>+1-206-218-4420</t>
  </si>
  <si>
    <t>+1-425-434-3344</t>
  </si>
  <si>
    <t>261-82-8065</t>
  </si>
  <si>
    <t>https://cdn.singlesignal.com/photos/emp-1002.jpg</t>
  </si>
  <si>
    <t>https://www.linkedin.com/in/priya-narayanan-237</t>
  </si>
  <si>
    <t>EMP-1003</t>
  </si>
  <si>
    <t>Jon</t>
  </si>
  <si>
    <t>Martinez</t>
  </si>
  <si>
    <t>Jon Martinez</t>
  </si>
  <si>
    <t>jon.martinez@singlesignal.com</t>
  </si>
  <si>
    <t>+1-415-798-3077</t>
  </si>
  <si>
    <t>+1-408-232-1996</t>
  </si>
  <si>
    <t>484-55-2168</t>
  </si>
  <si>
    <t>https://cdn.singlesignal.com/photos/emp-1003.jpg</t>
  </si>
  <si>
    <t>https://www.linkedin.com/in/jon-martinez-238</t>
  </si>
  <si>
    <t>EMP-1004</t>
  </si>
  <si>
    <t>Erin</t>
  </si>
  <si>
    <t>Erin Hughes</t>
  </si>
  <si>
    <t>erin.hughes@singlesignal.com</t>
  </si>
  <si>
    <t>+1-646-862-5511</t>
  </si>
  <si>
    <t>+1-404-846-9462</t>
  </si>
  <si>
    <t>107-15-5229</t>
  </si>
  <si>
    <t>https://cdn.singlesignal.com/photos/emp-1004.jpg</t>
  </si>
  <si>
    <t>https://www.linkedin.com/in/erin-hughes-239</t>
  </si>
  <si>
    <t>EMP-1005</t>
  </si>
  <si>
    <t>Nguyen</t>
  </si>
  <si>
    <t>Sofia Nguyen</t>
  </si>
  <si>
    <t>sofia.nguyen@singlesignal.com</t>
  </si>
  <si>
    <t>+1-617-768-8562</t>
  </si>
  <si>
    <t>+1-408-321-5761</t>
  </si>
  <si>
    <t>379-36-9905</t>
  </si>
  <si>
    <t>https://cdn.singlesignal.com/photos/emp-1005.jpg</t>
  </si>
  <si>
    <t>https://www.linkedin.com/in/sofia-nguyen-240</t>
  </si>
  <si>
    <t>EMP-1006</t>
  </si>
  <si>
    <t>Casey</t>
  </si>
  <si>
    <t>Rowe</t>
  </si>
  <si>
    <t>Casey Rowe</t>
  </si>
  <si>
    <t>casey.rowe@singlesignal.com</t>
  </si>
  <si>
    <t>+353-1-2384245</t>
  </si>
  <si>
    <t>+353-87-2355168</t>
  </si>
  <si>
    <t>673-62-2710</t>
  </si>
  <si>
    <t>https://cdn.singlesignal.com/photos/emp-1006.jpg</t>
  </si>
  <si>
    <t>https://www.linkedin.com/in/casey-rowe-241</t>
  </si>
  <si>
    <t>EMP-1007</t>
  </si>
  <si>
    <t>Tanya</t>
  </si>
  <si>
    <t>Lim</t>
  </si>
  <si>
    <t>Tanya Lim</t>
  </si>
  <si>
    <t>tanya.lim@singlesignal.com</t>
  </si>
  <si>
    <t>+353-1-2338002</t>
  </si>
  <si>
    <t>+353-87-2969085</t>
  </si>
  <si>
    <t>626-88-2575</t>
  </si>
  <si>
    <t>https://cdn.singlesignal.com/photos/emp-1007.jpg</t>
  </si>
  <si>
    <t>https://www.linkedin.com/in/tanya-lim-242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</si>
</sst>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
    <numFmt numFmtId="166" formatCode="yyyy-mm-dd"/>
  </numFmts>
  <fonts count="10">
    <font>
      <sz val="10.0"/>
      <color rgb="FF000000"/>
      <name val="Arial"/>
      <scheme val="minor"/>
    </font>
    <font>
      <b/>
      <color theme="1"/>
      <name val="Arial"/>
    </font>
    <font>
      <color theme="1"/>
      <name val="Arial"/>
    </font>
    <font>
      <b/>
      <i/>
      <color theme="1"/>
      <name val="Arial"/>
    </font>
    <font>
      <color rgb="FF0000FF"/>
      <name val="Arial"/>
    </font>
    <font>
      <b/>
      <sz val="11.0"/>
      <color theme="1"/>
      <name val="Calibri"/>
    </font>
    <font>
      <sz val="11.0"/>
      <color theme="1"/>
      <name val="Calibri"/>
    </font>
    <font>
      <sz val="11.0"/>
      <color rgb="FF0000FF"/>
      <name val="Calibri"/>
    </font>
    <font>
      <color theme="1"/>
      <name val="Arial"/>
      <scheme val="minor"/>
    </font>
    <font>
      <u/>
      <color rgb="FF1155CC"/>
      <name val="Arial"/>
    </font>
  </fonts>
  <fills count="5">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Fill="1" applyFont="1"/>
    <xf borderId="0" fillId="2" fontId="2" numFmtId="0" xfId="0" applyFont="1"/>
    <xf borderId="1" fillId="0" fontId="3" numFmtId="0" xfId="0" applyAlignment="1" applyBorder="1" applyFont="1">
      <alignment vertical="top"/>
    </xf>
    <xf borderId="1" fillId="0" fontId="2" numFmtId="0" xfId="0" applyAlignment="1" applyBorder="1" applyFont="1">
      <alignment shrinkToFit="0" vertical="top" wrapText="1"/>
    </xf>
    <xf borderId="1" fillId="0" fontId="3" numFmtId="0" xfId="0" applyBorder="1" applyFont="1"/>
    <xf borderId="1" fillId="0" fontId="2" numFmtId="0" xfId="0" applyBorder="1" applyFont="1"/>
    <xf borderId="2" fillId="3" fontId="1" numFmtId="0" xfId="0" applyBorder="1" applyFill="1" applyFont="1"/>
    <xf borderId="3" fillId="3" fontId="2" numFmtId="0" xfId="0" applyBorder="1" applyFont="1"/>
    <xf borderId="1" fillId="0" fontId="2" numFmtId="0" xfId="0" applyAlignment="1" applyBorder="1" applyFont="1">
      <alignment horizontal="right"/>
    </xf>
    <xf borderId="1" fillId="4" fontId="4" numFmtId="0" xfId="0" applyBorder="1" applyFill="1" applyFont="1"/>
    <xf borderId="0" fillId="0" fontId="5" numFmtId="0" xfId="0" applyAlignment="1" applyFont="1">
      <alignment shrinkToFit="0" wrapText="1"/>
    </xf>
    <xf borderId="0" fillId="0" fontId="6" numFmtId="0" xfId="0" applyAlignment="1" applyFont="1">
      <alignment horizontal="center" shrinkToFit="0" wrapText="1"/>
    </xf>
    <xf borderId="1" fillId="0" fontId="1" numFmtId="0" xfId="0" applyBorder="1" applyFont="1"/>
    <xf borderId="2" fillId="2" fontId="1" numFmtId="0" xfId="0" applyBorder="1" applyFont="1"/>
    <xf borderId="4" fillId="2" fontId="1" numFmtId="0" xfId="0" applyAlignment="1" applyBorder="1" applyFont="1">
      <alignment horizontal="right"/>
    </xf>
    <xf borderId="3" fillId="2" fontId="1" numFmtId="0" xfId="0" applyAlignment="1" applyBorder="1" applyFont="1">
      <alignment horizontal="right"/>
    </xf>
    <xf borderId="1" fillId="4" fontId="7" numFmtId="164" xfId="0" applyAlignment="1" applyBorder="1" applyFont="1" applyNumberFormat="1">
      <alignment horizontal="right" shrinkToFit="0" wrapText="1"/>
    </xf>
    <xf borderId="1" fillId="4" fontId="4" numFmtId="164" xfId="0" applyAlignment="1" applyBorder="1" applyFont="1" applyNumberFormat="1">
      <alignment horizontal="right"/>
    </xf>
    <xf borderId="1" fillId="0" fontId="2" numFmtId="164" xfId="0" applyAlignment="1" applyBorder="1" applyFont="1" applyNumberFormat="1">
      <alignment horizontal="right"/>
    </xf>
    <xf borderId="4" fillId="3" fontId="2" numFmtId="0" xfId="0" applyBorder="1" applyFont="1"/>
    <xf borderId="1" fillId="0" fontId="1" numFmtId="0" xfId="0" applyAlignment="1" applyBorder="1" applyFont="1">
      <alignment horizontal="right"/>
    </xf>
    <xf borderId="1" fillId="0" fontId="2" numFmtId="165" xfId="0" applyBorder="1" applyFont="1" applyNumberFormat="1"/>
    <xf borderId="1" fillId="0" fontId="2" numFmtId="10" xfId="0" applyBorder="1" applyFont="1" applyNumberFormat="1"/>
    <xf borderId="1" fillId="0" fontId="1" numFmtId="165" xfId="0" applyBorder="1" applyFont="1" applyNumberFormat="1"/>
    <xf borderId="1" fillId="0" fontId="1" numFmtId="10" xfId="0" applyBorder="1" applyFont="1" applyNumberFormat="1"/>
    <xf borderId="1" fillId="0" fontId="6" numFmtId="3" xfId="0" applyAlignment="1" applyBorder="1" applyFont="1" applyNumberFormat="1">
      <alignment horizontal="right" shrinkToFit="0" wrapText="1"/>
    </xf>
    <xf borderId="1" fillId="0" fontId="2" numFmtId="3" xfId="0" applyAlignment="1" applyBorder="1" applyFont="1" applyNumberFormat="1">
      <alignment horizontal="right"/>
    </xf>
    <xf borderId="1" fillId="0" fontId="1" numFmtId="3" xfId="0" applyAlignment="1" applyBorder="1" applyFont="1" applyNumberFormat="1">
      <alignment horizontal="right"/>
    </xf>
    <xf borderId="1" fillId="0" fontId="2" numFmtId="165" xfId="0" applyAlignment="1" applyBorder="1" applyFont="1" applyNumberFormat="1">
      <alignment horizontal="right" vertical="bottom"/>
    </xf>
    <xf borderId="1" fillId="0" fontId="1" numFmtId="165" xfId="0" applyAlignment="1" applyBorder="1" applyFont="1" applyNumberFormat="1">
      <alignment horizontal="right" vertical="bottom"/>
    </xf>
    <xf borderId="1" fillId="0" fontId="6" numFmtId="165" xfId="0" applyAlignment="1" applyBorder="1" applyFont="1" applyNumberFormat="1">
      <alignment horizontal="right" shrinkToFit="0" wrapText="1"/>
    </xf>
    <xf borderId="1" fillId="0" fontId="1" numFmtId="165" xfId="0" applyAlignment="1" applyBorder="1" applyFont="1" applyNumberFormat="1">
      <alignment horizontal="right"/>
    </xf>
    <xf borderId="0" fillId="0" fontId="1" numFmtId="0" xfId="0" applyFont="1"/>
    <xf borderId="0" fillId="0" fontId="2" numFmtId="0" xfId="0" applyFont="1"/>
    <xf borderId="1" fillId="0" fontId="2" numFmtId="164" xfId="0" applyBorder="1" applyFont="1" applyNumberFormat="1"/>
    <xf borderId="1" fillId="0" fontId="1" numFmtId="164" xfId="0" applyBorder="1" applyFont="1" applyNumberFormat="1"/>
    <xf borderId="0" fillId="0" fontId="8" numFmtId="0" xfId="0" applyFont="1"/>
    <xf borderId="0" fillId="0" fontId="2" numFmtId="165" xfId="0" applyFont="1" applyNumberFormat="1"/>
    <xf borderId="0" fillId="0" fontId="2" numFmtId="0" xfId="0" applyAlignment="1" applyFont="1">
      <alignment vertical="bottom"/>
    </xf>
    <xf borderId="0" fillId="0" fontId="2" numFmtId="0" xfId="0" applyAlignment="1" applyFont="1">
      <alignment horizontal="right" vertical="bottom"/>
    </xf>
    <xf borderId="0" fillId="0" fontId="2" numFmtId="166" xfId="0" applyAlignment="1" applyFont="1" applyNumberFormat="1">
      <alignment horizontal="right" vertical="bottom"/>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J243" sheet="4. HRIS_Data"/>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sharedItems>
    </cacheField>
    <cacheField name="employee_number" numFmtId="0">
      <sharedItems>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1001"/>
        <s v="EMP-1002"/>
        <s v="EMP-1003"/>
        <s v="EMP-1004"/>
        <s v="EMP-1005"/>
        <s v="EMP-1006"/>
        <s v="EMP-1007"/>
      </sharedItems>
    </cacheField>
    <cacheField name="first_name" numFmtId="0">
      <sharedItems>
        <s v="Linh"/>
        <s v="Biwott"/>
        <s v="Joyce"/>
        <s v="Grace"/>
        <s v="Alfredo"/>
        <s v="Hakim"/>
        <s v="Rungnapa"/>
        <s v="Radoslav"/>
        <s v="Bernardo"/>
        <s v="Moa"/>
        <s v="Sarah"/>
        <s v="Ludmiła"/>
        <s v="Teresa"/>
        <s v="Alan"/>
        <s v="Kareena"/>
        <s v="Lamia"/>
        <s v="Isabella"/>
        <s v="Zhong"/>
        <s v="Bekzat"/>
        <s v="Sandu"/>
        <s v="Raimundo"/>
        <s v="Zheng"/>
        <s v="Sovann"/>
        <s v="Nora"/>
        <s v="Xiomara"/>
        <s v="Esther"/>
        <s v="Edyta"/>
        <s v="Gloriana"/>
        <s v="Camila"/>
        <s v="Joseph"/>
        <s v="Rosemarie"/>
        <s v="Sugiarto"/>
        <s v="Lubasi"/>
        <s v="Vicente"/>
        <s v="Joana"/>
        <s v="Mihret"/>
        <s v="Carola"/>
        <s v="Jerome"/>
        <s v="Glenroy"/>
        <s v="Amina"/>
        <s v="Brigitte"/>
        <s v="Hana"/>
        <s v="Fabrice"/>
        <s v="Chen"/>
        <s v="Naomi"/>
        <s v="Andrew"/>
        <s v="Mohlomi"/>
        <s v="Petra"/>
        <s v="Alessio"/>
        <s v="Charlotte"/>
        <s v="Dafina"/>
        <s v="Vijay"/>
        <s v="Britt"/>
        <s v="Nafissatou"/>
        <s v="Paulette"/>
        <s v="Emma"/>
        <s v="Bun"/>
        <s v="Ines"/>
        <s v="Yohan"/>
        <s v="Hripsime"/>
        <s v="Hla Myint"/>
        <s v="Gaurav"/>
        <s v="Tono"/>
        <s v="Clara"/>
        <s v="Bagila"/>
        <s v="Ottavio"/>
        <s v="Jules"/>
        <s v="Alda"/>
        <s v="Janice"/>
        <s v="Mapaseka"/>
        <s v="Anush"/>
        <s v="Mari"/>
        <s v="Thierry"/>
        <s v="Ghanim"/>
        <s v="Alexandrina"/>
        <s v="Rashid"/>
        <s v="Aziza"/>
        <s v="Itumeleng"/>
        <s v="Mathieu"/>
        <s v="Nayef"/>
        <s v="Diego"/>
        <s v="Françoise"/>
        <s v="Khrystyna"/>
        <s v="Michelle"/>
        <s v="Luiza"/>
        <s v="Rini"/>
        <s v="Krista"/>
        <s v="Mirko"/>
        <s v="Simona"/>
        <s v="Ieremia"/>
        <s v="Freddy"/>
        <s v="Jean"/>
        <s v="Sofia"/>
        <s v="Kai"/>
        <s v="Zaynab"/>
        <s v="Mary"/>
        <s v="Jasmine"/>
        <s v="Elpida"/>
        <s v="Liam"/>
        <s v="Njeri"/>
        <s v="Zacchaeus"/>
        <s v="Zaida"/>
        <s v="Catalina"/>
        <s v="Héctor"/>
        <s v="Gloria"/>
        <s v="Francis"/>
        <s v="Nakakande"/>
        <s v="Farhan"/>
        <s v="Sadiya"/>
        <s v="Frederick"/>
        <s v="Marwa"/>
        <s v="Gonzalo"/>
        <s v="Cho"/>
        <s v="Samuel"/>
        <s v="Tetiana"/>
        <s v="Nehemiah"/>
        <s v="Jazmín"/>
        <s v="Ludovic"/>
        <s v="Xiuxiu"/>
        <s v="Russell"/>
        <s v="Judith"/>
        <s v="Sitiveni"/>
        <s v="Tiffany"/>
        <s v="Dzintars"/>
        <s v="Milda"/>
        <s v="Manana"/>
        <s v="Arnošt"/>
        <s v="Linda"/>
        <s v="Eugeniusz"/>
        <s v="Mateo"/>
        <s v="Eric"/>
        <s v="Myrto"/>
        <s v="Elena"/>
        <s v="Magige"/>
        <s v="Valerie"/>
        <s v="Noy"/>
        <s v="Kyaw"/>
        <s v="Susan"/>
        <s v="Danielle"/>
        <s v="Geetha"/>
        <s v="Ryan"/>
        <s v="Richard"/>
        <s v="Norman"/>
        <s v="Raudha"/>
        <s v="Alexander"/>
        <s v="Karen"/>
        <s v="Kevin"/>
        <s v="Clément"/>
        <s v="Lucie"/>
        <s v="Raymond"/>
        <s v="Denis"/>
        <s v="Panyin"/>
        <s v="Rajesh"/>
        <s v="Natalie"/>
        <s v="Natalya"/>
        <s v="Ryong-sung"/>
        <s v="Forward"/>
        <s v="Barbare"/>
        <s v="Dennis"/>
        <s v="Thương"/>
        <s v="Svetlana"/>
        <s v="Izzah Insyirah"/>
        <s v="Maria"/>
        <s v="Rose"/>
        <s v="Olivia"/>
        <s v="Akwasi"/>
        <s v="Ssentongo"/>
        <s v="Cyprien"/>
        <s v="Hyo-jin"/>
        <s v="Shushan"/>
        <s v="Aslène"/>
        <s v="Ruqayyah"/>
        <s v="Kyi"/>
        <s v="Zoey"/>
        <s v="Rongo"/>
        <s v="Lulwa"/>
        <s v="Åse"/>
        <s v="Jorge"/>
        <s v="Sandra"/>
        <s v="Majid"/>
        <s v="Anastasia"/>
        <s v="Sebastián"/>
        <s v="Luis"/>
        <s v="Ida"/>
        <s v="Osman"/>
        <s v="Margaret"/>
        <s v="Eugene"/>
        <s v="Angèle"/>
        <s v="Sangeeta"/>
        <s v="Gisela"/>
        <s v="Abdulmalik"/>
        <s v="Ernestine"/>
        <s v="Elias"/>
        <s v="Isaiah"/>
        <s v="Patrick"/>
        <s v="Jonathan"/>
        <s v="Chi Wai"/>
        <s v="Margit"/>
        <s v="Sverrir"/>
        <s v="Raphaël"/>
        <s v="Catherine"/>
        <s v="Milagros"/>
        <s v="Olivier"/>
        <s v="Rachel"/>
        <s v="Alejandro"/>
        <s v="Howard"/>
        <s v="Martine"/>
        <s v="Lars"/>
        <s v="Adama"/>
        <s v="Namgay Dorji"/>
        <s v="Anani"/>
        <s v="Keiji"/>
        <s v="Vaiala"/>
        <s v="Rashed"/>
        <s v="Génesis"/>
        <s v="Annamária"/>
        <s v="Segametsi"/>
        <s v="Silje"/>
        <s v="Simon"/>
        <s v="Socheata"/>
        <s v="Damian"/>
        <s v="Layla"/>
        <s v="Athina"/>
        <s v="Jacob"/>
        <s v="Diane"/>
        <s v="Suha"/>
        <s v="Mila"/>
        <s v="Hannah"/>
        <s v="Morgan"/>
        <s v="Priya"/>
        <s v="Jon"/>
        <s v="Erin"/>
        <s v="Casey"/>
        <s v="Tanya"/>
      </sharedItems>
    </cacheField>
    <cacheField name="last_name" numFmtId="0">
      <sharedItems>
        <s v="Ould Cheikh"/>
        <s v="Castillo"/>
        <s v="Shihab"/>
        <s v="Rodrigues"/>
        <s v="Delgado"/>
        <s v="Ahonon"/>
        <s v="Mouanda"/>
        <s v="Oyella"/>
        <s v="Nurme"/>
        <s v="Teuatabo"/>
        <s v="Rodriguez"/>
        <s v="Selim"/>
        <s v="Sisouvong"/>
        <s v="Mema"/>
        <s v="Chu"/>
        <s v="Situmorang"/>
        <s v="Touati"/>
        <s v="Nyein"/>
        <s v="Belleville"/>
        <s v="Castro"/>
        <s v="Roach"/>
        <s v="Kok"/>
        <s v="Al-Khamis"/>
        <s v="Cabort"/>
        <s v="Dobnik"/>
        <s v="Abou Khalil"/>
        <s v="Tosi"/>
        <s v="Kaighin"/>
        <s v="Ivarsson"/>
        <s v="Okoth"/>
        <s v="Williams"/>
        <s v="Oyite"/>
        <s v="Cai"/>
        <s v="Kasemets"/>
        <s v="Todjinou"/>
        <s v="Bakhit"/>
        <s v="Koffi"/>
        <s v="Fardan"/>
        <s v="Sauvage"/>
        <s v="Penh"/>
        <s v="Paul"/>
        <s v="Thaler"/>
        <s v="Siwale"/>
        <s v="Berthé"/>
        <s v="Ramkhelawan"/>
        <s v="Saunders"/>
        <s v="Embok"/>
        <s v="Bae"/>
        <s v="Fernández"/>
        <s v="Hage"/>
        <s v="Rossouw"/>
        <s v="Thabit"/>
        <s v="Tan"/>
        <s v="Krenn"/>
        <s v="Al-Johani"/>
        <s v="Zembe"/>
        <s v="Constancia"/>
        <s v="Ntibarikure"/>
        <s v="Chan"/>
        <s v="Mendez"/>
        <s v="Turner"/>
        <s v="Theophile"/>
        <s v="Mucavel"/>
        <s v="Naito"/>
        <s v="Haamaluba"/>
        <s v="Ghanem"/>
        <s v="Bukovský"/>
        <s v="Nhaca"/>
        <s v="Walczak"/>
        <s v="Salazar"/>
        <s v="Guei"/>
        <s v="Romero"/>
        <s v="Mohyeldin"/>
        <s v="Torres"/>
        <s v="Seru"/>
        <s v="Le Cheminant"/>
        <s v="Edness"/>
        <s v="Stevens"/>
        <s v="Adam"/>
        <s v="Zorec"/>
        <s v="Mwanje"/>
        <s v="Sambú"/>
        <s v="Hashim"/>
        <s v="Quiroga"/>
        <s v="Huanca"/>
        <s v="Zhukovsky"/>
        <s v="Maier"/>
        <s v="Le Mesurier"/>
        <s v="Mahale"/>
        <s v="James"/>
        <s v="Shing"/>
        <s v="Johannes"/>
        <s v="Bouzaglo"/>
        <s v="Ruiz"/>
        <s v="Gessesse"/>
        <s v="Navarro"/>
        <s v="Marhé"/>
        <s v="Ouali"/>
        <s v="Pearson"/>
        <s v="Al-Masri"/>
        <s v="Baker"/>
        <s v="Coutanche"/>
        <s v="Henderson"/>
        <s v="Carles"/>
        <s v="Slim"/>
        <s v="Spencer"/>
        <s v="Đinh"/>
        <s v="Evangelou"/>
        <s v="Tamme"/>
        <s v="Bailey"/>
        <s v="Claesson"/>
        <s v="Marinič"/>
        <s v="Essoo"/>
        <s v="Lamy"/>
        <s v="Keo"/>
        <s v="Mandili"/>
        <s v="Cardoso"/>
        <s v="Jorge"/>
        <s v="Tamagnini"/>
        <s v="Lipman"/>
        <s v="Dillenburg"/>
        <s v="Zhordania"/>
        <s v="Mazamba"/>
        <s v="Novák"/>
        <s v="Santos"/>
        <s v="Louis-Jean"/>
        <s v="Pierce"/>
        <s v="Ganerdene"/>
        <s v="Thomsen"/>
        <s v="El Adib"/>
        <s v="Thomas"/>
        <s v="Vitry"/>
        <s v="Lăng"/>
        <s v="Woźniak"/>
        <s v="Zokou"/>
        <s v="Reyes"/>
        <s v="Bennett"/>
        <s v="Kibe"/>
        <s v="Bazin"/>
        <s v="Wawrzyniak"/>
        <s v="Al-Kathiri"/>
        <s v="Bernoussi"/>
        <s v="Temari"/>
        <s v="Msuya"/>
        <s v="Harris"/>
        <s v="Hamilton"/>
        <s v="Voveris"/>
        <s v="Lome"/>
        <s v="Shine"/>
        <s v="Kasymov"/>
        <s v="Greiveldinger"/>
        <s v="Hamissou"/>
        <s v="Redžepagić"/>
        <s v="Carrasco"/>
        <s v="Ismailov"/>
        <s v="Köprülü"/>
        <s v="Haoda"/>
        <s v="Al-Hajj"/>
        <s v="Carr"/>
        <s v="Lauridsen"/>
        <s v="Skifte"/>
        <s v="Miranda"/>
        <s v="Skúlason"/>
        <s v="Jones"/>
        <s v="Faragó"/>
        <s v="Barrios"/>
        <s v="Haldar"/>
        <s v="Danko"/>
        <s v="Ahmed"/>
        <s v="Maina"/>
        <s v="Yumani"/>
        <s v="Rakotomaharo"/>
        <s v="Gasser"/>
        <s v="Hughes"/>
        <s v="Vidović"/>
        <s v="Tokaiono"/>
        <s v="Guerrero"/>
        <s v="Darsières"/>
        <s v="Malan"/>
        <s v="McKay"/>
        <s v="Cirino"/>
        <s v="Kmeť"/>
        <s v="Kayastha"/>
        <s v="Maharaj"/>
        <s v="Mbele"/>
        <s v="Engberg"/>
        <s v="Haraldsdóttir"/>
        <s v="Weekes"/>
        <s v="Łuczak"/>
        <s v="Sinanan"/>
        <s v="Sengdara"/>
        <s v="Thompson"/>
        <s v="Teivitu"/>
        <s v="Taher"/>
        <s v="Ould Boubacar"/>
        <s v="Gondwe"/>
        <s v="Fazlić"/>
        <s v="Clark"/>
        <s v="Böhm"/>
        <s v="Proeung"/>
        <s v="Derjacques"/>
        <s v="Deguara"/>
        <s v="Sidibé"/>
        <s v="Hag"/>
        <s v="Bakken"/>
        <s v="George"/>
        <s v="Al-Ramadi"/>
        <s v="Al Alawi"/>
        <s v="Marku"/>
        <s v="Pintér"/>
        <s v="Costea"/>
        <s v="Purnomo"/>
        <s v="Diabaté"/>
        <s v="Figueroa"/>
        <s v="Khaya"/>
        <s v="Baco"/>
        <s v="Temirov"/>
        <s v="Refael"/>
        <s v="Schramm"/>
        <s v="Salah"/>
        <s v="Morales"/>
        <s v="Subramaniam"/>
        <s v="Damayanthi"/>
        <s v="Rosario"/>
        <s v="Kritchai"/>
        <s v="Al Gurg"/>
        <s v="Kotenko"/>
        <s v="Awono"/>
        <s v="Nystad"/>
        <s v="Ruwan"/>
        <s v="Samuel"/>
        <s v="Bartlett"/>
        <s v="Lee"/>
        <s v="Narayanan"/>
        <s v="Martinez"/>
        <s v="Nguyen"/>
        <s v="Rowe"/>
        <s v="Lim"/>
      </sharedItems>
    </cacheField>
    <cacheField name="preferred_name" numFmtId="0">
      <sharedItems>
        <s v="Linh"/>
        <s v="Biwott"/>
        <s v="Joyce"/>
        <s v="Grace"/>
        <s v="Alfredo"/>
        <s v="Hakim"/>
        <s v="Rungnapa"/>
        <s v="Radoslav"/>
        <s v="Bernardo"/>
        <s v="Moa"/>
        <s v="Sarah"/>
        <s v="Ludmiła"/>
        <s v="Teresa"/>
        <s v="Alan"/>
        <s v="Kareena"/>
        <s v="Lamia"/>
        <s v="Isabella"/>
        <s v="Zhong"/>
        <s v="Bekzat"/>
        <s v="Sandu"/>
        <s v="Raimundo"/>
        <s v="Zheng"/>
        <s v="Sovann"/>
        <s v="Nora"/>
        <s v="Xiomara"/>
        <s v="Esther"/>
        <s v="Edyta"/>
        <s v="Gloriana"/>
        <s v="Camila"/>
        <s v="Joseph"/>
        <s v="Rosemarie"/>
        <s v="Sugiarto"/>
        <s v="Lubasi"/>
        <s v="Vicente"/>
        <s v="Joana"/>
        <s v="Mihret"/>
        <s v="Carola"/>
        <s v="Jerome"/>
        <s v="Glenroy"/>
        <s v="Amina"/>
        <s v="Brigitte"/>
        <s v="Hana"/>
        <s v="Fabrice"/>
        <s v="Chen"/>
        <s v="Naomi"/>
        <s v="Andrew"/>
        <s v="Mohlomi"/>
        <s v="Petra"/>
        <s v="Alessio"/>
        <s v="Charlotte"/>
        <s v="Dafina"/>
        <s v="Vijay"/>
        <s v="Britt"/>
        <s v="Nafissatou"/>
        <s v="Paulette"/>
        <s v="Emma"/>
        <s v="Bun"/>
        <s v="Ines"/>
        <s v="Yohan"/>
        <s v="Hripsime"/>
        <s v="Hla Myint"/>
        <s v="Gaurav"/>
        <s v="Tono"/>
        <s v="Clara"/>
        <s v="Bagila"/>
        <s v="Ottavio"/>
        <s v="Jules"/>
        <s v="Alda"/>
        <s v="Janice"/>
        <s v="Mapaseka"/>
        <s v="Anush"/>
        <s v="Mari"/>
        <s v="Thierry"/>
        <s v="Ghanim"/>
        <s v="Alexandrina"/>
        <s v="Rashid"/>
        <s v="Aziza"/>
        <s v="Itumeleng"/>
        <s v="Mathieu"/>
        <s v="Nayef"/>
        <s v="Diego"/>
        <s v="Françoise"/>
        <s v="Khrystyna"/>
        <s v="Michelle"/>
        <s v="Luiza"/>
        <s v="Rini"/>
        <s v="Krista"/>
        <s v="Mirko"/>
        <s v="Simona"/>
        <s v="Ieremia"/>
        <s v="Freddy"/>
        <s v="Jean"/>
        <s v="Sofia"/>
        <s v="Kai"/>
        <s v="Zaynab"/>
        <s v="Mary"/>
        <s v="Jasmine"/>
        <s v="Elpida"/>
        <s v="Liam"/>
        <s v="Njeri"/>
        <s v="Zacchaeus"/>
        <s v="Zaida"/>
        <s v="Catalina"/>
        <s v="Héctor"/>
        <s v="Gloria"/>
        <s v="Francis"/>
        <s v="Nakakande"/>
        <s v="Farhan"/>
        <s v="Sadiya"/>
        <s v="Frederick"/>
        <s v="Marwa"/>
        <s v="Gonzalo"/>
        <s v="Cho"/>
        <s v="Samuel"/>
        <s v="Tetiana"/>
        <s v="Nehemiah"/>
        <s v="Jazmín"/>
        <s v="Ludovic"/>
        <s v="Xiuxiu"/>
        <s v="Russell"/>
        <s v="Judith"/>
        <s v="Sitiveni"/>
        <s v="Tiffany"/>
        <s v="Dzintars"/>
        <s v="Milda"/>
        <s v="Manana"/>
        <s v="Arnošt"/>
        <s v="Linda"/>
        <s v="Eugeniusz"/>
        <s v="Mateo"/>
        <s v="Eric"/>
        <s v="Myrto"/>
        <s v="Elena"/>
        <s v="Magige"/>
        <s v="Valerie"/>
        <s v="Noy"/>
        <s v="Kyaw"/>
        <s v="Susan"/>
        <s v="Danielle"/>
        <s v="Geetha"/>
        <s v="Ryan"/>
        <s v="Richard"/>
        <s v="Norman"/>
        <s v="Raudha"/>
        <s v="Alexander"/>
        <s v="Karen"/>
        <s v="Kevin"/>
        <s v="Clément"/>
        <s v="Lucie"/>
        <s v="Raymond"/>
        <s v="Denis"/>
        <s v="Panyin"/>
        <s v="Rajesh"/>
        <s v="Natalie"/>
        <s v="Natalya"/>
        <s v="Ryong-sung"/>
        <s v="Forward"/>
        <s v="Barbare"/>
        <s v="Dennis"/>
        <s v="Thương"/>
        <s v="Svetlana"/>
        <s v="Izzah Insyirah"/>
        <s v="Maria"/>
        <s v="Rose"/>
        <s v="Olivia"/>
        <s v="Akwasi"/>
        <s v="Ssentongo"/>
        <s v="Cyprien"/>
        <s v="Hyo-jin"/>
        <s v="Shushan"/>
        <s v="Aslène"/>
        <s v="Ruqayyah"/>
        <s v="Kyi"/>
        <s v="Zoey"/>
        <s v="Rongo"/>
        <s v="Lulwa"/>
        <s v="Åse"/>
        <s v="Jorge"/>
        <s v="Sandra"/>
        <s v="Majid"/>
        <s v="Anastasia"/>
        <s v="Sebastián"/>
        <s v="Luis"/>
        <s v="Ida"/>
        <s v="Osman"/>
        <s v="Margaret"/>
        <s v="Eugene"/>
        <s v="Angèle"/>
        <s v="Sangeeta"/>
        <s v="Gisela"/>
        <s v="Abdulmalik"/>
        <s v="Ernestine"/>
        <s v="Elias"/>
        <s v="Isaiah"/>
        <s v="Patrick"/>
        <s v="Jonathan"/>
        <s v="Chi Wai"/>
        <s v="Margit"/>
        <s v="Sverrir"/>
        <s v="Raphaël"/>
        <s v="Catherine"/>
        <s v="Milagros"/>
        <s v="Olivier"/>
        <s v="Rachel"/>
        <s v="Alejandro"/>
        <s v="Howard"/>
        <s v="Martine"/>
        <s v="Lars"/>
        <s v="Adama"/>
        <s v="Namgay Dorji"/>
        <s v="Anani"/>
        <s v="Keiji"/>
        <s v="Vaiala"/>
        <s v="Rashed"/>
        <s v="Génesis"/>
        <s v="Annamária"/>
        <s v="Segametsi"/>
        <s v="Silje"/>
        <s v="Simon"/>
        <s v="Socheata"/>
        <s v="Damian"/>
        <s v="Layla"/>
        <s v="Athina"/>
        <s v="Jacob"/>
        <s v="Diane"/>
        <s v="Suha"/>
        <s v="Mila"/>
        <s v="Hannah"/>
        <s v="Morgan"/>
        <s v="Priya"/>
        <s v="Jon"/>
        <s v="Erin"/>
        <s v="Casey"/>
        <s v="Tanya"/>
      </sharedItems>
    </cacheField>
    <cacheField name="middle_name" numFmtId="0">
      <sharedItems>
        <s v="Grace"/>
        <s v="Rose"/>
        <s v="Alexander"/>
        <s v="Jean"/>
        <s v="Marie"/>
        <s v="James"/>
        <s v="Ann"/>
        <s v="Kai"/>
        <s v="Michael"/>
        <s v="Lee"/>
      </sharedItems>
    </cacheField>
    <cacheField name="display_name" numFmtId="0">
      <sharedItems>
        <s v="Linh Ould Cheikh"/>
        <s v="Biwott Castillo"/>
        <s v="Joyce Shihab"/>
        <s v="Grace Rodrigues"/>
        <s v="Alfredo Delgado"/>
        <s v="Hakim Ahonon"/>
        <s v="Rungnapa Mouanda"/>
        <s v="Radoslav Oyella"/>
        <s v="Bernardo Nurme"/>
        <s v="Moa Teuatabo"/>
        <s v="Sarah Rodriguez"/>
        <s v="Ludmiła Selim"/>
        <s v="Teresa Sisouvong"/>
        <s v="Alan Mema"/>
        <s v="Kareena Chu"/>
        <s v="Lamia Situmorang"/>
        <s v="Isabella Touati"/>
        <s v="Zhong Nyein"/>
        <s v="Bekzat Belleville"/>
        <s v="Sandu Castro"/>
        <s v="Raimundo Roach"/>
        <s v="Zheng Kok"/>
        <s v="Sovann Al-Khamis"/>
        <s v="Nora Cabort"/>
        <s v="Xiomara Dobnik"/>
        <s v="Esther Abou Khalil"/>
        <s v="Edyta Tosi"/>
        <s v="Gloriana Kaighin"/>
        <s v="Camila Ivarsson"/>
        <s v="Joseph Okoth"/>
        <s v="Rosemarie Williams"/>
        <s v="Sugiarto Oyite"/>
        <s v="Lubasi Cai"/>
        <s v="Vicente Kasemets"/>
        <s v="Joana Todjinou"/>
        <s v="Mihret Bakhit"/>
        <s v="Carola Koffi"/>
        <s v="Jerome Fardan"/>
        <s v="Glenroy Sauvage"/>
        <s v="Amina Penh"/>
        <s v="Brigitte Paul"/>
        <s v="Hana Thaler"/>
        <s v="Fabrice Siwale"/>
        <s v="Chen Berthé"/>
        <s v="Naomi Ramkhelawan"/>
        <s v="Andrew Saunders"/>
        <s v="Mohlomi Embok"/>
        <s v="Petra Bae"/>
        <s v="Alessio Fernández"/>
        <s v="Charlotte Hage"/>
        <s v="Dafina Paul"/>
        <s v="Vijay Rossouw"/>
        <s v="Britt Thabit"/>
        <s v="Nafissatou Tan"/>
        <s v="Paulette Krenn"/>
        <s v="Emma Castro"/>
        <s v="Bun Al-Johani"/>
        <s v="Ines Zembe"/>
        <s v="Yohan Constancia"/>
        <s v="Hripsime Ntibarikure"/>
        <s v="Hla Myint Chan"/>
        <s v="Gaurav Mendez"/>
        <s v="Tono Turner"/>
        <s v="Clara Theophile"/>
        <s v="Bagila Mucavel"/>
        <s v="Ottavio Naito"/>
        <s v="Jules Haamaluba"/>
        <s v="Alda Ghanem"/>
        <s v="Janice Bukovský"/>
        <s v="Mapaseka Nhaca"/>
        <s v="Anush Walczak"/>
        <s v="Mari Salazar"/>
        <s v="Thierry Guei"/>
        <s v="Ghanim Romero"/>
        <s v="Alexandrina Mohyeldin"/>
        <s v="Rashid Torres"/>
        <s v="Aziza Seru"/>
        <s v="Itumeleng Le Cheminant"/>
        <s v="Mathieu Edness"/>
        <s v="Nayef Stevens"/>
        <s v="Diego Adam"/>
        <s v="Françoise Zorec"/>
        <s v="Isabella Mwanje"/>
        <s v="Khrystyna Sambú"/>
        <s v="Michelle Hashim"/>
        <s v="Luiza Quiroga"/>
        <s v="Rini Huanca"/>
        <s v="Krista Zhukovsky"/>
        <s v="Mirko Maier"/>
        <s v="Simona Le Mesurier"/>
        <s v="Isabella Mahale"/>
        <s v="Ieremia James"/>
        <s v="Freddy Shing"/>
        <s v="Jean Johannes"/>
        <s v="Sofia Bouzaglo"/>
        <s v="Kai Ruiz"/>
        <s v="Zaynab Gessesse"/>
        <s v="Mary Navarro"/>
        <s v="Jasmine Marhé"/>
        <s v="Elpida Ouali"/>
        <s v="Liam Pearson"/>
        <s v="Njeri Al-Masri"/>
        <s v="Zacchaeus Baker"/>
        <s v="Zaida Coutanche"/>
        <s v="Catalina Henderson"/>
        <s v="Héctor Carles"/>
        <s v="Gloria Slim"/>
        <s v="Francis Spencer"/>
        <s v="Nakakande Đinh"/>
        <s v="Farhan Evangelou"/>
        <s v="Sadiya Tamme"/>
        <s v="Frederick Bailey"/>
        <s v="Marwa Claesson"/>
        <s v="Gonzalo Marinič"/>
        <s v="Cho Essoo"/>
        <s v="Samuel Lamy"/>
        <s v="Tetiana Keo"/>
        <s v="Nehemiah Mandili"/>
        <s v="Jazmín Cardoso"/>
        <s v="Ludovic Jorge"/>
        <s v="Xiuxiu Tamagnini"/>
        <s v="Rashid Lipman"/>
        <s v="Russell Dillenburg"/>
        <s v="Judith Zhordania"/>
        <s v="Sitiveni Mazamba"/>
        <s v="Tiffany Novák"/>
        <s v="Dzintars Santos"/>
        <s v="Milda Louis-Jean"/>
        <s v="Manana Pierce"/>
        <s v="Arnošt Ganerdene"/>
        <s v="Linda Thomsen"/>
        <s v="Eugeniusz El Adib"/>
        <s v="Mateo Thomas"/>
        <s v="Eric Vitry"/>
        <s v="Myrto Lăng"/>
        <s v="Elena Woźniak"/>
        <s v="Magige Zokou"/>
        <s v="Valerie Reyes"/>
        <s v="Noy Bennett"/>
        <s v="Kyaw Kibe"/>
        <s v="Susan Bazin"/>
        <s v="Danielle Wawrzyniak"/>
        <s v="Geetha Al-Kathiri"/>
        <s v="Joseph Bernoussi"/>
        <s v="Ryan Temari"/>
        <s v="Richard Msuya"/>
        <s v="Norman Harris"/>
        <s v="Raudha Hamilton"/>
        <s v="Alexander Voveris"/>
        <s v="Karen Lome"/>
        <s v="Kevin Shine"/>
        <s v="Samuel Kasymov"/>
        <s v="Clément Greiveldinger"/>
        <s v="Lucie Hamissou"/>
        <s v="Raymond Redžepagić"/>
        <s v="Denis Carrasco"/>
        <s v="Panyin Ismailov"/>
        <s v="Rajesh Köprülü"/>
        <s v="Natalie Haoda"/>
        <s v="Natalya Al-Hajj"/>
        <s v="Ryong-sung Carr"/>
        <s v="Forward Lauridsen"/>
        <s v="Barbare Skifte"/>
        <s v="Dennis Miranda"/>
        <s v="Thương Skúlason"/>
        <s v="Svetlana Jones"/>
        <s v="Izzah Insyirah Faragó"/>
        <s v="Maria Barrios"/>
        <s v="Rose Haldar"/>
        <s v="Olivia Danko"/>
        <s v="Akwasi Ahmed"/>
        <s v="Ssentongo Maina"/>
        <s v="Cyprien Yumani"/>
        <s v="Hyo-jin Rakotomaharo"/>
        <s v="Shushan Gasser"/>
        <s v="Aslène Hughes"/>
        <s v="Ruqayyah Vidović"/>
        <s v="Kyi Tokaiono"/>
        <s v="Zoey Guerrero"/>
        <s v="Rongo Darsières"/>
        <s v="Lulwa Malan"/>
        <s v="Åse McKay"/>
        <s v="Jorge Cirino"/>
        <s v="Sandra Kmeť"/>
        <s v="Majid Kayastha"/>
        <s v="Anastasia Maharaj"/>
        <s v="Sebastián Mbele"/>
        <s v="Luis Engberg"/>
        <s v="Ida Haraldsdóttir"/>
        <s v="Osman Weekes"/>
        <s v="Margaret Łuczak"/>
        <s v="Eugene Sinanan"/>
        <s v="Angèle Sengdara"/>
        <s v="Sangeeta Thompson"/>
        <s v="Gisela Teivitu"/>
        <s v="Abdulmalik Taher"/>
        <s v="Ernestine Ould Boubacar"/>
        <s v="Elias Gondwe"/>
        <s v="Isaiah Fazlić"/>
        <s v="Patrick Clark"/>
        <s v="Jonathan Böhm"/>
        <s v="Chi Wai Proeung"/>
        <s v="Margit Derjacques"/>
        <s v="Sverrir Deguara"/>
        <s v="Raphaël Sidibé"/>
        <s v="Catherine Hag"/>
        <s v="Milagros Bakken"/>
        <s v="Olivier George"/>
        <s v="Rachel Al-Ramadi"/>
        <s v="Alejandro Al Alawi"/>
        <s v="Howard Marku"/>
        <s v="Martine Pintér"/>
        <s v="Lars Costea"/>
        <s v="Adama Purnomo"/>
        <s v="Namgay Dorji Miranda"/>
        <s v="Anani Diabaté"/>
        <s v="Keiji Figueroa"/>
        <s v="Vaiala Khaya"/>
        <s v="Rashed Baco"/>
        <s v="Génesis Temirov"/>
        <s v="Annamária Refael"/>
        <s v="Segametsi Schramm"/>
        <s v="Silje Salah"/>
        <s v="Simon Morales"/>
        <s v="Socheata Subramaniam"/>
        <s v="Damian Damayanthi"/>
        <s v="Layla Rosario"/>
        <s v="Athina Kritchai"/>
        <s v="Sofia Al Gurg"/>
        <s v="Jacob Kotenko"/>
        <s v="Diane Awono"/>
        <s v="Suha Nystad"/>
        <s v="Mila Ruwan"/>
        <s v="Rachel Samuel"/>
        <s v="Hannah Bartlett"/>
        <s v="Morgan Lee"/>
        <s v="Priya Narayanan"/>
        <s v="Jon Martinez"/>
        <s v="Erin Hughes"/>
        <s v="Sofia Nguyen"/>
        <s v="Casey Rowe"/>
        <s v="Tanya Lim"/>
      </sharedItems>
    </cacheField>
    <cacheField name="work_email" numFmtId="0">
      <sharedItems>
        <s v="linh.ould.cheikh@singlesignal.com"/>
        <s v="biwott.castillo@singlesignal.com"/>
        <s v="joyce.shihab@singlesignal.com"/>
        <s v="grace.rodrigues@singlesignal.com"/>
        <s v="alfredo.delgado@singlesignal.com"/>
        <s v="hakim.ahonon@singlesignal.com"/>
        <s v="rungnapa.mouanda@singlesignal.com"/>
        <s v="radoslav.oyella@singlesignal.com"/>
        <s v="bernardo.nurme@singlesignal.com"/>
        <s v="moa.teuatabo@singlesignal.com"/>
        <s v="sarah.rodriguez@singlesignal.com"/>
        <s v="ludmiła.selim@singlesignal.com"/>
        <s v="teresa.sisouvong@singlesignal.com"/>
        <s v="alan.mema@singlesignal.com"/>
        <s v="kareena.chu@singlesignal.com"/>
        <s v="lamia.situmorang@singlesignal.com"/>
        <s v="isabella.touati@singlesignal.com"/>
        <s v="zhong.nyein@singlesignal.com"/>
        <s v="bekzat.belleville@singlesignal.com"/>
        <s v="sandu.castro@singlesignal.com"/>
        <s v="raimundo.roach@singlesignal.com"/>
        <s v="zheng.kok@singlesignal.com"/>
        <s v="sovann.al-khamis@singlesignal.com"/>
        <s v="nora.cabort@singlesignal.com"/>
        <s v="xiomara.dobnik@singlesignal.com"/>
        <s v="esther.abou.khalil@singlesignal.com"/>
        <s v="edyta.tosi@singlesignal.com"/>
        <s v="gloriana.kaighin@singlesignal.com"/>
        <s v="camila.ivarsson@singlesignal.com"/>
        <s v="joseph.okoth@singlesignal.com"/>
        <s v="rosemarie.williams@singlesignal.com"/>
        <s v="sugiarto.oyite@singlesignal.com"/>
        <s v="lubasi.cai@singlesignal.com"/>
        <s v="vicente.kasemets@singlesignal.com"/>
        <s v="joana.todjinou@singlesignal.com"/>
        <s v="mihret.bakhit@singlesignal.com"/>
        <s v="carola.koffi@singlesignal.com"/>
        <s v="jerome.fardan@singlesignal.com"/>
        <s v="glenroy.sauvage@singlesignal.com"/>
        <s v="amina.penh@singlesignal.com"/>
        <s v="brigitte.paul@singlesignal.com"/>
        <s v="hana.thaler@singlesignal.com"/>
        <s v="fabrice.siwale@singlesignal.com"/>
        <s v="chen.berthé@singlesignal.com"/>
        <s v="naomi.ramkhelawan@singlesignal.com"/>
        <s v="andrew.saunders@singlesignal.com"/>
        <s v="mohlomi.embok@singlesignal.com"/>
        <s v="petra.bae@singlesignal.com"/>
        <s v="alessio.fernández@singlesignal.com"/>
        <s v="charlotte.hage@singlesignal.com"/>
        <s v="dafina.paul@singlesignal.com"/>
        <s v="vijay.rossouw@singlesignal.com"/>
        <s v="britt.thabit@singlesignal.com"/>
        <s v="nafissatou.tan@singlesignal.com"/>
        <s v="paulette.krenn@singlesignal.com"/>
        <s v="emma.castro@singlesignal.com"/>
        <s v="bun.al-johani@singlesignal.com"/>
        <s v="ines.zembe@singlesignal.com"/>
        <s v="yohan.constancia@singlesignal.com"/>
        <s v="hripsime.ntibarikure@singlesignal.com"/>
        <s v="hla.myint.chan@singlesignal.com"/>
        <s v="gaurav.mendez@singlesignal.com"/>
        <s v="tono.turner@singlesignal.com"/>
        <s v="clara.theophile@singlesignal.com"/>
        <s v="bagila.mucavel@singlesignal.com"/>
        <s v="ottavio.naito@singlesignal.com"/>
        <s v="jules.haamaluba@singlesignal.com"/>
        <s v="alda.ghanem@singlesignal.com"/>
        <s v="janice.bukovský@singlesignal.com"/>
        <s v="mapaseka.nhaca@singlesignal.com"/>
        <s v="anush.walczak@singlesignal.com"/>
        <s v="mari.salazar@singlesignal.com"/>
        <s v="thierry.guei@singlesignal.com"/>
        <s v="ghanim.romero@singlesignal.com"/>
        <s v="alexandrina.mohyeldin@singlesignal.com"/>
        <s v="rashid.torres@singlesignal.com"/>
        <s v="aziza.seru@singlesignal.com"/>
        <s v="itumeleng.le.cheminant@singlesignal.com"/>
        <s v="mathieu.edness@singlesignal.com"/>
        <s v="nayef.stevens@singlesignal.com"/>
        <s v="diego.adam@singlesignal.com"/>
        <s v="françoise.zorec@singlesignal.com"/>
        <s v="isabella.mwanje@singlesignal.com"/>
        <s v="khrystyna.sambú@singlesignal.com"/>
        <s v="michelle.hashim@singlesignal.com"/>
        <s v="luiza.quiroga@singlesignal.com"/>
        <s v="rini.huanca@singlesignal.com"/>
        <s v="krista.zhukovsky@singlesignal.com"/>
        <s v="mirko.maier@singlesignal.com"/>
        <s v="simona.le.mesurier@singlesignal.com"/>
        <s v="isabella.mahale@singlesignal.com"/>
        <s v="ieremia.james@singlesignal.com"/>
        <s v="freddy.shing@singlesignal.com"/>
        <s v="jean.johannes@singlesignal.com"/>
        <s v="sofia.bouzaglo@singlesignal.com"/>
        <s v="kai.ruiz@singlesignal.com"/>
        <s v="zaynab.gessesse@singlesignal.com"/>
        <s v="mary.navarro@singlesignal.com"/>
        <s v="jasmine.marhé@singlesignal.com"/>
        <s v="elpida.ouali@singlesignal.com"/>
        <s v="liam.pearson@singlesignal.com"/>
        <s v="njeri.al-masri@singlesignal.com"/>
        <s v="zacchaeus.baker@singlesignal.com"/>
        <s v="zaida.coutanche@singlesignal.com"/>
        <s v="catalina.henderson@singlesignal.com"/>
        <s v="héctor.carles@singlesignal.com"/>
        <s v="gloria.slim@singlesignal.com"/>
        <s v="francis.spencer@singlesignal.com"/>
        <s v="nakakande.đinh@singlesignal.com"/>
        <s v="farhan.evangelou@singlesignal.com"/>
        <s v="sadiya.tamme@singlesignal.com"/>
        <s v="frederick.bailey@singlesignal.com"/>
        <s v="marwa.claesson@singlesignal.com"/>
        <s v="gonzalo.marinič@singlesignal.com"/>
        <s v="cho.essoo@singlesignal.com"/>
        <s v="samuel.lamy@singlesignal.com"/>
        <s v="tetiana.keo@singlesignal.com"/>
        <s v="nehemiah.mandili@singlesignal.com"/>
        <s v="jazmín.cardoso@singlesignal.com"/>
        <s v="ludovic.jorge@singlesignal.com"/>
        <s v="xiuxiu.tamagnini@singlesignal.com"/>
        <s v="rashid.lipman@singlesignal.com"/>
        <s v="russell.dillenburg@singlesignal.com"/>
        <s v="judith.zhordania@singlesignal.com"/>
        <s v="sitiveni.mazamba@singlesignal.com"/>
        <s v="tiffany.novák@singlesignal.com"/>
        <s v="dzintars.santos@singlesignal.com"/>
        <s v="milda.louis-jean@singlesignal.com"/>
        <s v="manana.pierce@singlesignal.com"/>
        <s v="arnošt.ganerdene@singlesignal.com"/>
        <s v="linda.thomsen@singlesignal.com"/>
        <s v="eugeniusz.el.adib@singlesignal.com"/>
        <s v="mateo.thomas@singlesignal.com"/>
        <s v="eric.vitry@singlesignal.com"/>
        <s v="myrto.lăng@singlesignal.com"/>
        <s v="elena.woźniak@singlesignal.com"/>
        <s v="magige.zokou@singlesignal.com"/>
        <s v="valerie.reyes@singlesignal.com"/>
        <s v="noy.bennett@singlesignal.com"/>
        <s v="kyaw.kibe@singlesignal.com"/>
        <s v="susan.bazin@singlesignal.com"/>
        <s v="danielle.wawrzyniak@singlesignal.com"/>
        <s v="geetha.al-kathiri@singlesignal.com"/>
        <s v="joseph.bernoussi@singlesignal.com"/>
        <s v="ryan.temari@singlesignal.com"/>
        <s v="richard.msuya@singlesignal.com"/>
        <s v="norman.harris@singlesignal.com"/>
        <s v="raudha.hamilton@singlesignal.com"/>
        <s v="alexander.voveris@singlesignal.com"/>
        <s v="karen.lome@singlesignal.com"/>
        <s v="kevin.shine@singlesignal.com"/>
        <s v="samuel.kasymov@singlesignal.com"/>
        <s v="clément.greiveldinger@singlesignal.com"/>
        <s v="lucie.hamissou@singlesignal.com"/>
        <s v="raymond.redžepagić@singlesignal.com"/>
        <s v="denis.carrasco@singlesignal.com"/>
        <s v="panyin.ismailov@singlesignal.com"/>
        <s v="rajesh.köprülü@singlesignal.com"/>
        <s v="natalie.haoda@singlesignal.com"/>
        <s v="natalya.al-hajj@singlesignal.com"/>
        <s v="ryong-sung.carr@singlesignal.com"/>
        <s v="forward.lauridsen@singlesignal.com"/>
        <s v="barbare.skifte@singlesignal.com"/>
        <s v="dennis.miranda@singlesignal.com"/>
        <s v="thương.skúlason@singlesignal.com"/>
        <s v="svetlana.jones@singlesignal.com"/>
        <s v="izzah.insyirah.faragó@singlesignal.com"/>
        <s v="maria.barrios@singlesignal.com"/>
        <s v="rose.haldar@singlesignal.com"/>
        <s v="olivia.danko@singlesignal.com"/>
        <s v="akwasi.ahmed@singlesignal.com"/>
        <s v="ssentongo.maina@singlesignal.com"/>
        <s v="cyprien.yumani@singlesignal.com"/>
        <s v="hyo-jin.rakotomaharo@singlesignal.com"/>
        <s v="shushan.gasser@singlesignal.com"/>
        <s v="aslène.hughes@singlesignal.com"/>
        <s v="ruqayyah.vidović@singlesignal.com"/>
        <s v="kyi.tokaiono@singlesignal.com"/>
        <s v="zoey.guerrero@singlesignal.com"/>
        <s v="rongo.darsières@singlesignal.com"/>
        <s v="lulwa.malan@singlesignal.com"/>
        <s v="åse.mckay@singlesignal.com"/>
        <s v="jorge.cirino@singlesignal.com"/>
        <s v="sandra.kmeť@singlesignal.com"/>
        <s v="majid.kayastha@singlesignal.com"/>
        <s v="anastasia.maharaj@singlesignal.com"/>
        <s v="sebastián.mbele@singlesignal.com"/>
        <s v="luis.engberg@singlesignal.com"/>
        <s v="ida.haraldsdóttir@singlesignal.com"/>
        <s v="osman.weekes@singlesignal.com"/>
        <s v="margaret.łuczak@singlesignal.com"/>
        <s v="eugene.sinanan@singlesignal.com"/>
        <s v="angèle.sengdara@singlesignal.com"/>
        <s v="sangeeta.thompson@singlesignal.com"/>
        <s v="gisela.teivitu@singlesignal.com"/>
        <s v="abdulmalik.taher@singlesignal.com"/>
        <s v="ernestine.ould.boubacar@singlesignal.com"/>
        <s v="elias.gondwe@singlesignal.com"/>
        <s v="isaiah.fazlić@singlesignal.com"/>
        <s v="patrick.clark@singlesignal.com"/>
        <s v="jonathan.böhm@singlesignal.com"/>
        <s v="chi.wai.proeung@singlesignal.com"/>
        <s v="margit.derjacques@singlesignal.com"/>
        <s v="sverrir.deguara@singlesignal.com"/>
        <s v="raphaël.sidibé@singlesignal.com"/>
        <s v="catherine.hag@singlesignal.com"/>
        <s v="milagros.bakken@singlesignal.com"/>
        <s v="olivier.george@singlesignal.com"/>
        <s v="rachel.al-ramadi@singlesignal.com"/>
        <s v="alejandro.al.alawi@singlesignal.com"/>
        <s v="howard.marku@singlesignal.com"/>
        <s v="martine.pintér@singlesignal.com"/>
        <s v="lars.costea@singlesignal.com"/>
        <s v="adama.purnomo@singlesignal.com"/>
        <s v="namgay.dorji.miranda@singlesignal.com"/>
        <s v="anani.diabaté@singlesignal.com"/>
        <s v="keiji.figueroa@singlesignal.com"/>
        <s v="vaiala.khaya@singlesignal.com"/>
        <s v="rashed.baco@singlesignal.com"/>
        <s v="génesis.temirov@singlesignal.com"/>
        <s v="annamária.refael@singlesignal.com"/>
        <s v="segametsi.schramm@singlesignal.com"/>
        <s v="silje.salah@singlesignal.com"/>
        <s v="simon.morales@singlesignal.com"/>
        <s v="socheata.subramaniam@singlesignal.com"/>
        <s v="damian.damayanthi@singlesignal.com"/>
        <s v="layla.rosario@singlesignal.com"/>
        <s v="athina.kritchai@singlesignal.com"/>
        <s v="sofia.al.gurg@singlesignal.com"/>
        <s v="jacob.kotenko@singlesignal.com"/>
        <s v="diane.awono@singlesignal.com"/>
        <s v="suha.nystad@singlesignal.com"/>
        <s v="mila.ruwan@singlesignal.com"/>
        <s v="rachel.samuel@singlesignal.com"/>
        <s v="hannah.bartlett@singlesignal.com"/>
        <s v="morgan.lee@singlesignal.com"/>
        <s v="priya.narayanan@singlesignal.com"/>
        <s v="jon.martinez@singlesignal.com"/>
        <s v="erin.hughes@singlesignal.com"/>
        <s v="sofia.nguyen@singlesignal.com"/>
        <s v="casey.rowe@singlesignal.com"/>
        <s v="tanya.lim@singlesignal.com"/>
      </sharedItems>
    </cacheField>
    <cacheField name="home_email" numFmtId="0">
      <sharedItems containsString="0" containsBlank="1">
        <m/>
      </sharedItems>
    </cacheField>
    <cacheField name="work_phone" numFmtId="0">
      <sharedItems>
        <s v="+1-415-568-6588"/>
        <s v="+1-206-367-6005"/>
        <s v="+353-1-2024556"/>
        <s v="+1-646-349-6373"/>
        <s v="+1-415-890-6103"/>
        <s v="+1-415-852-7101"/>
        <s v="+1-415-645-3003"/>
        <s v="+1-415-421-8716"/>
        <s v="+1-646-277-7887"/>
        <s v="+1-305-229-6957"/>
        <s v="+353-1-2235180"/>
        <s v="+1-415-602-2267"/>
        <s v="+1-646-368-1580"/>
        <s v="+1-415-644-6683"/>
        <s v="+1-415-746-7323"/>
        <s v="+353-1-2283460"/>
        <s v="+1-415-474-4302"/>
        <s v="+1-646-550-5783"/>
        <s v="+1-646-289-1368"/>
        <s v="+1-415-605-5326"/>
        <s v="+1-415-206-5498"/>
        <s v="+1-415-744-1898"/>
        <s v="+1-415-631-1334"/>
        <s v="+1-415-949-6264"/>
        <s v="+1-415-546-8162"/>
        <s v="+1-617-811-7636"/>
        <s v="+1-415-573-2561"/>
        <s v="+353-1-2597937"/>
        <s v="+1-503-846-8116"/>
        <s v="+1-646-926-2429"/>
        <s v="+1-415-418-4375"/>
        <s v="+1-415-692-7319"/>
        <s v="+353-1-2283274"/>
        <s v="+1-646-995-4974"/>
        <s v="+1-415-620-4893"/>
        <s v="+1-646-316-5099"/>
        <s v="+353-1-2921694"/>
        <s v="+1-415-688-7978"/>
        <s v="+1-415-332-1211"/>
        <s v="+1-415-205-1479"/>
        <s v="+1-415-682-3402"/>
        <s v="+1-503-264-9290"/>
        <s v="+1-415-953-5276"/>
        <s v="+1-415-363-5966"/>
        <s v="+1-415-760-7870"/>
        <s v="+1-415-518-2555"/>
        <s v="+1-415-964-5973"/>
        <s v="+1-415-414-7805"/>
        <s v="+1-415-604-7944"/>
        <s v="+1-415-204-7959"/>
        <s v="+1-415-685-3406"/>
        <s v="+353-1-2172199"/>
        <s v="+1-415-454-5179"/>
        <s v="+1-646-313-3674"/>
        <s v="+1-415-880-2713"/>
        <s v="+1-312-941-4639"/>
        <s v="+1-415-219-8932"/>
        <s v="+1-312-448-2206"/>
        <s v="+1-415-732-7774"/>
        <s v="+1-415-620-9404"/>
        <s v="+1-646-409-9702"/>
        <s v="+1-312-270-8347"/>
        <s v="+1-415-942-1299"/>
        <s v="+1-617-559-6181"/>
        <s v="+1-617-230-1785"/>
        <s v="+1-646-940-9393"/>
        <s v="+1-415-750-9979"/>
        <s v="+1-415-849-1268"/>
        <s v="+1-415-586-6625"/>
        <s v="+353-1-2713575"/>
        <s v="+1-415-263-2323"/>
        <s v="+1-415-858-4621"/>
        <s v="+1-646-869-7359"/>
        <s v="+1-646-346-5784"/>
        <s v="+1-415-615-1185"/>
        <s v="+1-415-663-3287"/>
        <s v="+1-646-968-9156"/>
        <s v="+1-646-856-8355"/>
        <s v="+353-1-2049626"/>
        <s v="+1-415-200-3006"/>
        <s v="+1-646-275-7073"/>
        <s v="+353-1-2752757"/>
        <s v="+1-415-442-7052"/>
        <s v="+1-415-630-2678"/>
        <s v="+1-415-754-8309"/>
        <s v="+1-415-335-5078"/>
        <s v="+1-415-721-2628"/>
        <s v="+1-415-228-7885"/>
        <s v="+1-415-296-5361"/>
        <s v="+1-415-875-6568"/>
        <s v="+1-646-788-4746"/>
        <s v="+1-206-848-7654"/>
        <s v="+1-646-701-7981"/>
        <s v="+1-646-562-9082"/>
        <s v="+353-1-2419742"/>
        <s v="+1-415-980-3819"/>
        <s v="+1-415-231-4191"/>
        <s v="+1-646-906-2064"/>
        <s v="+1-415-317-8830"/>
        <s v="+1-415-728-1512"/>
        <s v="+1-415-650-4671"/>
        <s v="+1-415-667-9996"/>
        <s v="+1-206-722-3276"/>
        <s v="+1-415-891-8653"/>
        <s v="+1-415-493-3163"/>
        <s v="+1-415-665-2378"/>
        <s v="+1-415-473-8326"/>
        <s v="+1-415-685-2245"/>
        <s v="+1-415-724-3386"/>
        <s v="+1-305-639-2163"/>
        <s v="+1-646-466-5328"/>
        <s v="+353-1-2628408"/>
        <s v="+1-415-624-5669"/>
        <s v="+1-646-357-4654"/>
        <s v="+1-415-205-3296"/>
        <s v="+353-1-2835429"/>
        <s v="+1-415-232-8964"/>
        <s v="+1-415-343-7111"/>
        <s v="+1-415-484-8348"/>
        <s v="+1-646-736-3279"/>
        <s v="+1-312-789-4916"/>
        <s v="+1-415-491-8099"/>
        <s v="+1-206-387-9828"/>
        <s v="+353-1-2639096"/>
        <s v="+1-415-635-6053"/>
        <s v="+1-415-875-3513"/>
        <s v="+1-646-375-9866"/>
        <s v="+1-415-871-8382"/>
        <s v="+1-646-595-8980"/>
        <s v="+353-1-2947862"/>
        <s v="+1-305-883-9556"/>
        <s v="+1-415-759-9526"/>
        <s v="+1-646-689-1117"/>
        <s v="+1-415-464-3876"/>
        <s v="+1-415-413-5057"/>
        <s v="+1-617-918-9203"/>
        <s v="+1-646-962-6823"/>
        <s v="+1-646-959-9711"/>
        <s v="+353-1-2382253"/>
        <s v="+1-646-945-9358"/>
        <s v="+1-415-479-1979"/>
        <s v="+1-415-802-6247"/>
        <s v="+1-415-748-7422"/>
        <s v="+1-617-864-9356"/>
        <s v="+1-415-915-8548"/>
        <s v="+1-415-430-1151"/>
        <s v="+1-503-615-4837"/>
        <s v="+353-1-2501885"/>
        <s v="+1-415-828-3756"/>
        <s v="+1-415-429-7408"/>
        <s v="+353-1-2038135"/>
        <s v="+1-415-636-9030"/>
        <s v="+1-415-750-6528"/>
        <s v="+1-503-951-8052"/>
        <s v="+353-1-2497107"/>
        <s v="+1-617-883-3919"/>
        <s v="+1-646-486-2093"/>
        <s v="+1-415-525-7466"/>
        <s v="+353-1-2704366"/>
        <s v="+1-415-991-7293"/>
        <s v="+1-646-965-8588"/>
        <s v="+353-1-2851104"/>
        <s v="+1-617-368-5737"/>
        <s v="+1-415-656-5684"/>
        <s v="+1-646-910-4276"/>
        <s v="+1-415-937-5225"/>
        <s v="+1-646-658-5308"/>
        <s v="+1-503-900-6621"/>
        <s v="+1-415-990-3108"/>
        <s v="+1-206-384-8982"/>
        <s v="+1-415-559-4264"/>
        <s v="+1-415-601-8999"/>
        <s v="+1-646-732-9514"/>
        <s v="+1-206-946-9370"/>
        <s v="+1-415-794-4480"/>
        <s v="+1-305-361-4487"/>
        <s v="+1-415-392-5980"/>
        <s v="+1-312-635-9834"/>
        <s v="+1-646-762-6178"/>
        <s v="+1-503-985-2285"/>
        <s v="+1-312-972-4156"/>
        <s v="+353-1-2887878"/>
        <s v="+1-646-378-5298"/>
        <s v="+1-415-589-3979"/>
        <s v="+1-646-283-5903"/>
        <s v="+1-206-941-6391"/>
        <s v="+1-415-789-6277"/>
        <s v="+1-415-296-2106"/>
        <s v="+1-503-628-8234"/>
        <s v="+1-415-492-5556"/>
        <s v="+1-646-241-2546"/>
        <s v="+353-1-2778261"/>
        <s v="+1-415-931-1589"/>
        <s v="+1-503-758-9853"/>
        <s v="+1-312-735-1755"/>
        <s v="+1-305-928-5250"/>
        <s v="+1-646-629-6184"/>
        <s v="+1-415-944-5830"/>
        <s v="+1-415-657-4398"/>
        <s v="+1-415-807-5850"/>
        <s v="+1-646-241-8855"/>
        <s v="+1-646-746-2784"/>
        <s v="+1-646-940-2736"/>
        <s v="+1-415-245-6526"/>
        <s v="+353-1-2832748"/>
        <s v="+1-646-704-5024"/>
        <s v="+1-646-948-7509"/>
        <s v="+1-415-718-6011"/>
        <s v="+1-206-893-4202"/>
        <s v="+1-415-226-7013"/>
        <s v="+1-415-900-5624"/>
        <s v="+1-415-369-2832"/>
        <s v="+1-206-401-9382"/>
        <s v="+1-415-694-9667"/>
        <s v="+1-646-454-5811"/>
        <s v="+1-646-265-1035"/>
        <s v="+1-646-463-9059"/>
        <s v="+1-646-337-5704"/>
        <s v="+1-617-491-2573"/>
        <s v="+1-617-644-9040"/>
        <s v="+1-312-450-1801"/>
        <s v="+1-646-816-4971"/>
        <s v="+1-415-835-6578"/>
        <s v="+1-415-442-6434"/>
        <s v="+1-415-451-2567"/>
        <s v="+1-503-605-2103"/>
        <s v="+353-1-2300105"/>
        <s v="+1-646-519-8549"/>
        <s v="+1-415-638-1442"/>
        <s v="+1-415-692-3053"/>
        <s v="+1-646-829-9430"/>
        <s v="+1-617-695-5271"/>
        <s v="+1-646-442-1486"/>
        <s v="+1-415-417-4716"/>
        <s v="+1-305-726-6252"/>
        <s v="+1-415-422-3458"/>
        <s v="+1-206-218-4420"/>
        <s v="+1-415-798-3077"/>
        <s v="+1-646-862-5511"/>
        <s v="+1-617-768-8562"/>
        <s v="+353-1-2384245"/>
        <s v="+353-1-2338002"/>
      </sharedItems>
    </cacheField>
    <cacheField name="work_phone_extension" numFmtId="0">
      <sharedItems containsSemiMixedTypes="0" containsString="0" containsNumber="1" containsInteger="1">
        <n v="2759.0"/>
        <n v="7973.0"/>
        <n v="3659.0"/>
        <n v="5519.0"/>
        <n v="5629.0"/>
        <n v="2702.0"/>
        <n v="8442.0"/>
        <n v="2110.0"/>
        <n v="1072.0"/>
        <n v="7713.0"/>
        <n v="1974.0"/>
        <n v="2530.0"/>
        <n v="6390.0"/>
        <n v="533.0"/>
        <n v="4733.0"/>
        <n v="2011.0"/>
        <n v="2283.0"/>
        <n v="3442.0"/>
        <n v="6833.0"/>
        <n v="2349.0"/>
        <n v="4572.0"/>
        <n v="2203.0"/>
        <n v="4422.0"/>
        <n v="6324.0"/>
        <n v="7956.0"/>
        <n v="7923.0"/>
        <n v="8554.0"/>
        <n v="4408.0"/>
        <n v="9023.0"/>
        <n v="6728.0"/>
        <n v="8018.0"/>
        <n v="6440.0"/>
        <n v="4166.0"/>
        <n v="5018.0"/>
        <n v="4186.0"/>
        <n v="9141.0"/>
        <n v="5226.0"/>
        <n v="2238.0"/>
        <n v="1537.0"/>
        <n v="2664.0"/>
        <n v="2487.0"/>
        <n v="3317.0"/>
        <n v="4453.0"/>
        <n v="7372.0"/>
        <n v="3493.0"/>
        <n v="3107.0"/>
        <n v="5285.0"/>
        <n v="1002.0"/>
        <n v="2622.0"/>
        <n v="8454.0"/>
        <n v="6964.0"/>
        <n v="1456.0"/>
        <n v="4236.0"/>
        <n v="8332.0"/>
        <n v="5657.0"/>
        <n v="9093.0"/>
        <n v="9887.0"/>
        <n v="7355.0"/>
        <n v="2628.0"/>
        <n v="5856.0"/>
        <n v="7275.0"/>
        <n v="1264.0"/>
        <n v="2757.0"/>
        <n v="1795.0"/>
        <n v="8419.0"/>
        <n v="6428.0"/>
        <n v="8252.0"/>
        <n v="3948.0"/>
        <n v="9972.0"/>
        <n v="6811.0"/>
        <n v="5296.0"/>
        <n v="4480.0"/>
        <n v="8101.0"/>
        <n v="4221.0"/>
        <n v="7818.0"/>
        <n v="1993.0"/>
        <n v="8016.0"/>
        <n v="3968.0"/>
        <n v="5705.0"/>
        <n v="3719.0"/>
        <n v="8422.0"/>
        <n v="9003.0"/>
        <n v="8993.0"/>
        <n v="7491.0"/>
        <n v="6737.0"/>
        <n v="852.0"/>
        <n v="3765.0"/>
        <n v="782.0"/>
        <n v="4298.0"/>
        <n v="3514.0"/>
        <n v="8262.0"/>
        <n v="4340.0"/>
        <n v="6991.0"/>
        <n v="9648.0"/>
        <n v="1080.0"/>
        <n v="7740.0"/>
        <n v="6993.0"/>
        <n v="9013.0"/>
        <n v="2426.0"/>
        <n v="7848.0"/>
        <n v="4364.0"/>
        <n v="2010.0"/>
        <n v="7887.0"/>
        <n v="6639.0"/>
        <n v="915.0"/>
        <n v="3403.0"/>
        <n v="6164.0"/>
        <n v="3374.0"/>
        <n v="2342.0"/>
        <n v="5921.0"/>
        <n v="1340.0"/>
        <n v="4131.0"/>
        <n v="188.0"/>
        <n v="9805.0"/>
        <n v="5802.0"/>
        <n v="1064.0"/>
        <n v="7936.0"/>
        <n v="6235.0"/>
        <n v="7451.0"/>
        <n v="6854.0"/>
        <n v="3868.0"/>
        <n v="3155.0"/>
        <n v="5784.0"/>
        <n v="9823.0"/>
        <n v="1302.0"/>
        <n v="7824.0"/>
        <n v="8179.0"/>
        <n v="252.0"/>
        <n v="3036.0"/>
        <n v="3714.0"/>
        <n v="1140.0"/>
        <n v="4171.0"/>
        <n v="279.0"/>
        <n v="4886.0"/>
        <n v="2030.0"/>
        <n v="5817.0"/>
        <n v="7386.0"/>
        <n v="2549.0"/>
        <n v="9380.0"/>
        <n v="6589.0"/>
        <n v="5011.0"/>
        <n v="7224.0"/>
        <n v="8178.0"/>
        <n v="2678.0"/>
        <n v="107.0"/>
        <n v="9180.0"/>
        <n v="4308.0"/>
        <n v="8648.0"/>
        <n v="6947.0"/>
        <n v="5473.0"/>
        <n v="7922.0"/>
        <n v="1854.0"/>
        <n v="5059.0"/>
        <n v="5990.0"/>
        <n v="2573.0"/>
        <n v="101.0"/>
        <n v="871.0"/>
        <n v="6628.0"/>
        <n v="7271.0"/>
        <n v="2336.0"/>
        <n v="3849.0"/>
        <n v="478.0"/>
        <n v="5556.0"/>
        <n v="6073.0"/>
        <n v="5108.0"/>
        <n v="155.0"/>
        <n v="8647.0"/>
        <n v="6939.0"/>
        <n v="8522.0"/>
        <n v="1210.0"/>
        <n v="5309.0"/>
        <n v="2476.0"/>
        <n v="4574.0"/>
        <n v="6398.0"/>
        <n v="805.0"/>
        <n v="2271.0"/>
        <n v="3489.0"/>
        <n v="8719.0"/>
        <n v="4744.0"/>
        <n v="2294.0"/>
        <n v="3046.0"/>
        <n v="4735.0"/>
        <n v="9303.0"/>
        <n v="4832.0"/>
        <n v="4405.0"/>
        <n v="3285.0"/>
        <n v="5157.0"/>
        <n v="7584.0"/>
        <n v="224.0"/>
        <n v="4537.0"/>
        <n v="1303.0"/>
        <n v="3748.0"/>
        <n v="8208.0"/>
        <n v="911.0"/>
        <n v="8904.0"/>
        <n v="645.0"/>
        <n v="2771.0"/>
        <n v="185.0"/>
        <n v="1713.0"/>
        <n v="8770.0"/>
        <n v="3225.0"/>
        <n v="1951.0"/>
        <n v="6050.0"/>
        <n v="9186.0"/>
        <n v="9300.0"/>
        <n v="6250.0"/>
        <n v="4584.0"/>
        <n v="7494.0"/>
        <n v="621.0"/>
        <n v="8120.0"/>
        <n v="3356.0"/>
        <n v="7677.0"/>
        <n v="9433.0"/>
        <n v="9379.0"/>
        <n v="9757.0"/>
        <n v="8768.0"/>
        <n v="138.0"/>
        <n v="2400.0"/>
        <n v="9560.0"/>
        <n v="7001.0"/>
        <n v="8257.0"/>
        <n v="121.0"/>
        <n v="5320.0"/>
        <n v="8445.0"/>
        <n v="4330.0"/>
        <n v="2791.0"/>
        <n v="744.0"/>
        <n v="6170.0"/>
        <n v="4875.0"/>
        <n v="2629.0"/>
        <n v="2275.0"/>
        <n v="163.0"/>
        <n v="2610.0"/>
        <n v="273.0"/>
        <n v="8893.0"/>
        <n v="6669.0"/>
        <n v="356.0"/>
        <n v="3230.0"/>
        <n v="524.0"/>
      </sharedItems>
    </cacheField>
    <cacheField name="mobile_phone" numFmtId="0">
      <sharedItems>
        <s v="+1-510-430-5679"/>
        <s v="+1-404-216-4521"/>
        <s v="+353-87-2634791"/>
        <s v="+1-425-813-6340"/>
        <s v="+1-404-355-8624"/>
        <s v="+1-510-313-1625"/>
        <s v="+1-404-699-8694"/>
        <s v="+1-510-325-7928"/>
        <s v="+1-408-349-2479"/>
        <s v="+1-408-880-6258"/>
        <s v="+353-87-2715407"/>
        <s v="+1-408-458-3976"/>
        <s v="+1-404-308-7924"/>
        <s v="+1-510-934-6842"/>
        <s v="+1-720-278-9605"/>
        <s v="+353-87-2102837"/>
        <s v="+1-408-447-1679"/>
        <s v="+1-425-501-6350"/>
        <s v="+1-404-889-8233"/>
        <s v="+1-425-700-2433"/>
        <s v="+1-510-257-6874"/>
        <s v="+1-425-303-3507"/>
        <s v="+1-917-268-9202"/>
        <s v="+1-404-955-2859"/>
        <s v="+1-425-563-3950"/>
        <s v="+1-425-324-4662"/>
        <s v="+1-404-507-1952"/>
        <s v="+353-87-2717869"/>
        <s v="+1-720-815-5954"/>
        <s v="+1-404-554-6296"/>
        <s v="+1-510-625-6805"/>
        <s v="+1-404-488-6892"/>
        <s v="+353-87-2121273"/>
        <s v="+1-425-603-2729"/>
        <s v="+1-720-848-4221"/>
        <s v="+1-510-735-9630"/>
        <s v="+353-87-2143404"/>
        <s v="+1-408-815-6166"/>
        <s v="+1-720-373-1857"/>
        <s v="+1-720-747-1073"/>
        <s v="+1-510-806-1877"/>
        <s v="+1-425-454-3427"/>
        <s v="+1-917-585-6458"/>
        <s v="+1-720-449-8929"/>
        <s v="+1-720-894-1798"/>
        <s v="+1-510-618-2122"/>
        <s v="+1-404-857-4152"/>
        <s v="+1-408-284-4601"/>
        <s v="+1-425-281-5935"/>
        <s v="+1-720-522-4941"/>
        <s v="+1-408-415-7980"/>
        <s v="+353-87-2495319"/>
        <s v="+1-510-901-4111"/>
        <s v="+1-510-693-5867"/>
        <s v="+1-404-629-3015"/>
        <s v="+1-425-671-1176"/>
        <s v="+1-720-972-5634"/>
        <s v="+1-510-826-5237"/>
        <s v="+1-404-494-8799"/>
        <s v="+1-425-654-4048"/>
        <s v="+1-917-813-7920"/>
        <s v="+1-404-388-8851"/>
        <s v="+1-404-903-9523"/>
        <s v="+1-917-823-9395"/>
        <s v="+1-720-413-6478"/>
        <s v="+1-425-974-8786"/>
        <s v="+1-404-651-7589"/>
        <s v="+1-425-862-7521"/>
        <s v="+1-917-792-5838"/>
        <s v="+353-87-2365626"/>
        <s v="+1-425-770-8608"/>
        <s v="+1-917-346-7209"/>
        <s v="+1-408-635-6096"/>
        <s v="+1-425-746-7605"/>
        <s v="+1-510-493-8244"/>
        <s v="+1-720-266-7751"/>
        <s v="+1-408-821-5933"/>
        <s v="+1-510-624-9822"/>
        <s v="+353-87-2159242"/>
        <s v="+1-404-799-3461"/>
        <s v="+1-425-600-8056"/>
        <s v="+353-87-2915406"/>
        <s v="+1-720-243-5775"/>
        <s v="+1-510-840-2004"/>
        <s v="+1-425-320-5702"/>
        <s v="+1-720-575-1892"/>
        <s v="+1-425-972-6255"/>
        <s v="+1-720-565-9240"/>
        <s v="+1-917-616-6493"/>
        <s v="+1-404-808-6174"/>
        <s v="+1-720-886-2422"/>
        <s v="+1-917-319-1865"/>
        <s v="+1-425-607-3154"/>
        <s v="+1-404-999-3247"/>
        <s v="+353-87-2581167"/>
        <s v="+1-510-920-9088"/>
        <s v="+1-425-547-6278"/>
        <s v="+1-510-927-6480"/>
        <s v="+1-425-660-3609"/>
        <s v="+1-404-326-9931"/>
        <s v="+1-917-917-3699"/>
        <s v="+1-917-612-9160"/>
        <s v="+1-720-772-9217"/>
        <s v="+1-408-565-1957"/>
        <s v="+1-917-505-8527"/>
        <s v="+1-425-830-2792"/>
        <s v="+1-720-443-9728"/>
        <s v="+1-404-931-6072"/>
        <s v="+1-404-504-7618"/>
        <s v="+1-404-816-6259"/>
        <s v="+1-425-954-3582"/>
        <s v="+353-87-2601587"/>
        <s v="+1-425-594-7537"/>
        <s v="+1-408-313-7417"/>
        <s v="+1-404-833-6360"/>
        <s v="+353-87-2614590"/>
        <s v="+1-917-771-8287"/>
        <s v="+1-510-309-3217"/>
        <s v="+1-510-460-7042"/>
        <s v="+1-408-496-8783"/>
        <s v="+1-425-370-9755"/>
        <s v="+1-425-394-7621"/>
        <s v="+1-408-398-7531"/>
        <s v="+353-87-2393444"/>
        <s v="+1-510-829-4175"/>
        <s v="+1-425-700-5833"/>
        <s v="+1-425-929-5830"/>
        <s v="+1-917-417-4018"/>
        <s v="+1-425-397-7652"/>
        <s v="+353-87-2708796"/>
        <s v="+1-510-220-6961"/>
        <s v="+1-510-804-6237"/>
        <s v="+1-404-995-5008"/>
        <s v="+1-408-253-4242"/>
        <s v="+1-720-597-6557"/>
        <s v="+1-720-421-2041"/>
        <s v="+1-917-356-9319"/>
        <s v="+1-720-738-7687"/>
        <s v="+353-87-2474106"/>
        <s v="+1-720-746-4439"/>
        <s v="+1-408-311-9106"/>
        <s v="+1-408-443-6377"/>
        <s v="+1-720-681-3182"/>
        <s v="+1-510-221-6052"/>
        <s v="+1-408-489-2450"/>
        <s v="+1-720-932-5068"/>
        <s v="+1-510-262-7363"/>
        <s v="+353-87-2518475"/>
        <s v="+1-917-835-2984"/>
        <s v="+1-404-363-9677"/>
        <s v="+353-87-2660301"/>
        <s v="+1-425-299-1537"/>
        <s v="+1-510-531-9690"/>
        <s v="+1-917-403-5847"/>
        <s v="+353-87-2004014"/>
        <s v="+1-408-869-9097"/>
        <s v="+1-720-706-8421"/>
        <s v="+1-720-886-8928"/>
        <s v="+353-87-2386255"/>
        <s v="+1-425-537-8997"/>
        <s v="+1-510-382-9365"/>
        <s v="+353-87-2002863"/>
        <s v="+1-425-422-8720"/>
        <s v="+1-917-405-8298"/>
        <s v="+1-404-304-6749"/>
        <s v="+1-408-318-9503"/>
        <s v="+1-425-387-1846"/>
        <s v="+1-510-306-4430"/>
        <s v="+1-408-222-8664"/>
        <s v="+1-510-768-8832"/>
        <s v="+1-408-235-7257"/>
        <s v="+1-917-974-1020"/>
        <s v="+1-510-866-9421"/>
        <s v="+1-404-444-8500"/>
        <s v="+1-720-695-9302"/>
        <s v="+1-510-844-7953"/>
        <s v="+1-720-978-8987"/>
        <s v="+1-917-588-4603"/>
        <s v="+1-404-283-8239"/>
        <s v="+1-917-501-1967"/>
        <s v="+1-425-450-8783"/>
        <s v="+353-87-2535075"/>
        <s v="+1-510-358-6401"/>
        <s v="+1-408-568-1530"/>
        <s v="+1-510-545-6731"/>
        <s v="+1-720-218-1310"/>
        <s v="+1-917-879-7756"/>
        <s v="+1-917-865-6683"/>
        <s v="+1-917-693-9319"/>
        <s v="+1-408-872-6464"/>
        <s v="+1-917-433-6115"/>
        <s v="+353-87-2086800"/>
        <s v="+1-720-292-7146"/>
        <s v="+1-425-294-4189"/>
        <s v="+1-720-759-7009"/>
        <s v="+1-425-330-8971"/>
        <s v="+1-720-545-5306"/>
        <s v="+1-408-753-1601"/>
        <s v="+1-720-571-9979"/>
        <s v="+1-917-246-1379"/>
        <s v="+1-425-584-6744"/>
        <s v="+1-404-506-4967"/>
        <s v="+1-425-625-4404"/>
        <s v="+1-425-942-2660"/>
        <s v="+353-87-2924939"/>
        <s v="+1-720-486-8894"/>
        <s v="+1-720-651-2017"/>
        <s v="+1-425-922-3371"/>
        <s v="+1-404-289-3840"/>
        <s v="+1-917-430-7537"/>
        <s v="+1-720-785-1898"/>
        <s v="+1-408-207-6862"/>
        <s v="+1-510-962-8719"/>
        <s v="+1-510-928-8385"/>
        <s v="+1-720-971-5044"/>
        <s v="+1-510-461-8013"/>
        <s v="+1-408-848-9713"/>
        <s v="+1-404-826-7731"/>
        <s v="+1-510-745-4894"/>
        <s v="+1-720-313-9052"/>
        <s v="+1-510-200-5211"/>
        <s v="+1-404-466-6803"/>
        <s v="+1-917-225-3489"/>
        <s v="+1-404-676-7306"/>
        <s v="+1-408-589-1760"/>
        <s v="+1-408-446-3152"/>
        <s v="+353-87-2418548"/>
        <s v="+1-720-592-2354"/>
        <s v="+1-720-476-6383"/>
        <s v="+1-404-973-7235"/>
        <s v="+1-720-397-5237"/>
        <s v="+1-917-290-3544"/>
        <s v="+1-404-804-3631"/>
        <s v="+1-404-380-7064"/>
        <s v="+1-720-830-9045"/>
        <s v="+1-720-626-4730"/>
        <s v="+1-425-434-3344"/>
        <s v="+1-408-232-1996"/>
        <s v="+1-404-846-9462"/>
        <s v="+1-408-321-5761"/>
        <s v="+353-87-2355168"/>
        <s v="+353-87-2969085"/>
      </sharedItems>
    </cacheField>
    <cacheField name="address1" numFmtId="0">
      <sharedItems>
        <s v="600 California St"/>
        <s v="1510 Blake St"/>
        <s v="One Spencer Dock"/>
        <s v="111 8th Ave"/>
        <s v="525 Market St"/>
        <s v="1 Montgomery St"/>
        <s v="1355 Market St"/>
        <s v="130 5th Ave"/>
        <s v="3410 NE 3rd Ave"/>
        <s v="10 Hanover Quay"/>
        <s v="1 World Trade Center"/>
        <s v="Grand Canal Dock, 2 Dublin Landings"/>
        <s v="200 W 41st St"/>
        <s v="88 Broadway"/>
        <s v="233 S Wacker Dr"/>
        <s v="903 Peachtree St NE"/>
        <s v="South Bank House, Barrow St"/>
        <s v="742 Evergreen Terrace"/>
      </sharedItems>
    </cacheField>
    <cacheField name="address2" numFmtId="0">
      <sharedItems containsBlank="1">
        <s v="Suite 2100"/>
        <m/>
        <s v="Floor 5"/>
        <s v="Suite 2300"/>
        <s v="Floor 16"/>
        <s v="Floor 10"/>
        <s v="Floor 4"/>
        <s v="Floor 74"/>
        <s v="Suite 1500"/>
        <s v="Apt 9C"/>
        <s v="Apt 38B"/>
        <s v="Unit 1204"/>
      </sharedItems>
    </cacheField>
    <cacheField name="city" numFmtId="0">
      <sharedItems>
        <s v="San Francisco"/>
        <s v="Denver"/>
        <s v="Dublin"/>
        <s v="New York"/>
        <s v="Seattle"/>
        <s v="Brooklyn"/>
        <s v="Chicago"/>
        <s v="Atlanta"/>
        <s v="Springfield"/>
      </sharedItems>
    </cacheField>
    <cacheField name="state" numFmtId="0">
      <sharedItems>
        <s v="CA"/>
        <s v="CO"/>
        <s v="Leinster"/>
        <s v="NY"/>
        <s v="WA"/>
        <s v="IL"/>
        <s v="GA"/>
        <s v="OR"/>
      </sharedItems>
    </cacheField>
    <cacheField name="zipcode">
      <sharedItems containsMixedTypes="1" containsNumber="1" containsInteger="1">
        <n v="94108.0"/>
        <n v="80202.0"/>
        <s v="D01 X9R7"/>
        <n v="10011.0"/>
        <n v="94105.0"/>
        <n v="94104.0"/>
        <n v="94103.0"/>
        <n v="98115.0"/>
        <s v="D02 X5W7"/>
        <n v="10007.0"/>
        <s v="D01 V4A3"/>
        <n v="10036.0"/>
        <n v="11249.0"/>
        <n v="60606.0"/>
        <n v="30309.0"/>
        <s v="D04 TR29"/>
        <n v="97477.0"/>
      </sharedItems>
    </cacheField>
    <cacheField name="country" numFmtId="0">
      <sharedItems>
        <s v="United States"/>
        <s v="Ireland"/>
      </sharedItems>
    </cacheField>
    <cacheField name="department" numFmtId="0">
      <sharedItems>
        <s v="R&amp;D"/>
        <s v="Customer Success"/>
        <s v="G&amp;A"/>
        <s v="Sales"/>
      </sharedItems>
    </cacheField>
    <cacheField name="division" numFmtId="0">
      <sharedItems>
        <s v="Research"/>
        <s v="Product"/>
        <s v="Engineering"/>
        <s v="Customer Success"/>
        <s v="Finance"/>
        <s v="HR"/>
        <s v="Sales"/>
        <s v="Legal"/>
      </sharedItems>
    </cacheField>
    <cacheField name="job_title" numFmtId="0">
      <sharedItems>
        <s v="DevOps Engineer"/>
        <s v="Security Analyst"/>
        <s v="Principal Engineer"/>
        <s v="QA Engineer"/>
        <s v="Senior Software Engineer"/>
        <s v="Security Engineer"/>
        <s v="Software Engineer"/>
        <s v="Senior Security Engineer"/>
        <s v="Technical Account Manager"/>
        <s v="Customer Success Manager"/>
        <s v="Operations Manager"/>
        <s v="Finance Analyst"/>
        <s v="Senior Recruiter"/>
        <s v="HR Business Partner"/>
        <s v="Security Team Lead"/>
        <s v="Engineering Manager"/>
        <s v="HR Coordinator"/>
        <s v="Finance Manager"/>
        <s v="VP Customer Success"/>
        <s v="CS Team Lead"/>
        <s v="Solutions Engineer"/>
        <s v="VP People"/>
        <s v="CS Associate"/>
        <s v="Sales Manager"/>
        <s v="Recruiter"/>
        <s v="Enterprise AE"/>
        <s v="Account Executive"/>
        <s v="Enterprise CSM"/>
        <s v="Implementation Specialist"/>
        <s v="SDR"/>
        <s v="Senior HR Business Partner"/>
        <s v="Senior CSM"/>
        <s v="BDR"/>
        <s v="Regional Director"/>
        <s v="VP Finance"/>
        <s v="Senior Account Executive"/>
        <s v="Senior HRBP"/>
        <s v="Chief Executive Officer"/>
        <s v="Chief Technology Officer"/>
        <s v="VP Product"/>
        <s v="Chief Revenue Officer"/>
        <s v="VP Customer Experience"/>
      </sharedItems>
    </cacheField>
    <cacheField name="location" numFmtId="0">
      <sharedItems>
        <s v="San Francisco HQ"/>
        <s v="Remote - USA"/>
        <s v="Dublin - EMEA Hub"/>
        <s v="New York - East Coast Hub"/>
      </sharedItems>
    </cacheField>
    <cacheField name="hire_date" numFmtId="166">
      <sharedItems containsSemiMixedTypes="0" containsDate="1" containsString="0">
        <d v="2024-05-07T00:00:00Z"/>
        <d v="2022-03-31T00:00:00Z"/>
        <d v="2024-02-17T00:00:00Z"/>
        <d v="2023-11-21T00:00:00Z"/>
        <d v="2022-12-29T00:00:00Z"/>
        <d v="2025-05-08T00:00:00Z"/>
        <d v="2023-01-09T00:00:00Z"/>
        <d v="2023-03-13T00:00:00Z"/>
        <d v="2025-06-24T00:00:00Z"/>
        <d v="2025-09-16T00:00:00Z"/>
        <d v="2023-04-08T00:00:00Z"/>
        <d v="2024-06-28T00:00:00Z"/>
        <d v="2025-02-28T00:00:00Z"/>
        <d v="2022-11-01T00:00:00Z"/>
        <d v="2023-08-03T00:00:00Z"/>
        <d v="2023-05-10T00:00:00Z"/>
        <d v="2022-12-12T00:00:00Z"/>
        <d v="2024-06-17T00:00:00Z"/>
        <d v="2025-08-17T00:00:00Z"/>
        <d v="2023-10-08T00:00:00Z"/>
        <d v="2022-08-23T00:00:00Z"/>
        <d v="2025-05-28T00:00:00Z"/>
        <d v="2024-04-12T00:00:00Z"/>
        <d v="2024-09-30T00:00:00Z"/>
        <d v="2022-04-12T00:00:00Z"/>
        <d v="2025-03-09T00:00:00Z"/>
        <d v="2024-11-09T00:00:00Z"/>
        <d v="2023-03-02T00:00:00Z"/>
        <d v="2024-08-17T00:00:00Z"/>
        <d v="2024-11-18T00:00:00Z"/>
        <d v="2022-12-30T00:00:00Z"/>
        <d v="2022-08-26T00:00:00Z"/>
        <d v="2025-03-03T00:00:00Z"/>
        <d v="2022-04-06T00:00:00Z"/>
        <d v="2025-06-28T00:00:00Z"/>
        <d v="2023-10-09T00:00:00Z"/>
        <d v="2022-09-22T00:00:00Z"/>
        <d v="2022-08-04T00:00:00Z"/>
        <d v="2023-11-24T00:00:00Z"/>
        <d v="2022-06-22T00:00:00Z"/>
        <d v="2022-11-27T00:00:00Z"/>
        <d v="2022-05-16T00:00:00Z"/>
        <d v="2023-08-18T00:00:00Z"/>
        <d v="2023-12-08T00:00:00Z"/>
        <d v="2022-06-18T00:00:00Z"/>
        <d v="2022-09-03T00:00:00Z"/>
        <d v="2022-02-22T00:00:00Z"/>
        <d v="2023-06-13T00:00:00Z"/>
        <d v="2024-10-22T00:00:00Z"/>
        <d v="2025-09-06T00:00:00Z"/>
        <d v="2025-02-21T00:00:00Z"/>
        <d v="2024-02-20T00:00:00Z"/>
        <d v="2024-05-08T00:00:00Z"/>
        <d v="2024-04-24T00:00:00Z"/>
        <d v="2024-02-25T00:00:00Z"/>
        <d v="2022-06-08T00:00:00Z"/>
        <d v="2023-10-21T00:00:00Z"/>
        <d v="2023-12-20T00:00:00Z"/>
        <d v="2024-10-08T00:00:00Z"/>
        <d v="2024-02-04T00:00:00Z"/>
        <d v="2025-02-07T00:00:00Z"/>
        <d v="2024-06-20T00:00:00Z"/>
        <d v="2022-10-22T00:00:00Z"/>
        <d v="2024-03-11T00:00:00Z"/>
        <d v="2023-10-22T00:00:00Z"/>
        <d v="2025-04-25T00:00:00Z"/>
        <d v="2023-01-01T00:00:00Z"/>
        <d v="2023-09-21T00:00:00Z"/>
        <d v="2025-04-01T00:00:00Z"/>
        <d v="2024-08-11T00:00:00Z"/>
        <d v="2023-11-14T00:00:00Z"/>
        <d v="2024-06-05T00:00:00Z"/>
        <d v="2025-03-13T00:00:00Z"/>
        <d v="2025-11-01T00:00:00Z"/>
        <d v="2023-03-12T00:00:00Z"/>
        <d v="2024-10-13T00:00:00Z"/>
        <d v="2022-03-20T00:00:00Z"/>
        <d v="2022-10-29T00:00:00Z"/>
        <d v="2023-06-24T00:00:00Z"/>
        <d v="2022-08-07T00:00:00Z"/>
        <d v="2023-04-21T00:00:00Z"/>
        <d v="2025-09-23T00:00:00Z"/>
        <d v="2025-10-01T00:00:00Z"/>
        <d v="2023-08-25T00:00:00Z"/>
        <d v="2023-05-03T00:00:00Z"/>
        <d v="2025-08-26T00:00:00Z"/>
        <d v="2024-05-05T00:00:00Z"/>
        <d v="2023-07-23T00:00:00Z"/>
        <d v="2022-02-20T00:00:00Z"/>
        <d v="2024-09-12T00:00:00Z"/>
        <d v="2022-04-30T00:00:00Z"/>
        <d v="2024-03-03T00:00:00Z"/>
        <d v="2025-08-28T00:00:00Z"/>
        <d v="2022-10-07T00:00:00Z"/>
        <d v="2023-03-10T00:00:00Z"/>
        <d v="2025-07-31T00:00:00Z"/>
        <d v="2022-03-07T00:00:00Z"/>
        <d v="2022-01-30T00:00:00Z"/>
        <d v="2023-02-07T00:00:00Z"/>
        <d v="2022-09-28T00:00:00Z"/>
        <d v="2023-10-13T00:00:00Z"/>
        <d v="2025-03-26T00:00:00Z"/>
        <d v="2023-04-27T00:00:00Z"/>
        <d v="2024-09-20T00:00:00Z"/>
        <d v="2022-03-24T00:00:00Z"/>
        <d v="2022-02-07T00:00:00Z"/>
        <d v="2024-12-09T00:00:00Z"/>
        <d v="2022-03-28T00:00:00Z"/>
        <d v="2024-12-02T00:00:00Z"/>
        <d v="2024-09-02T00:00:00Z"/>
        <d v="2024-07-09T00:00:00Z"/>
        <d v="2024-12-05T00:00:00Z"/>
        <d v="2023-01-13T00:00:00Z"/>
        <d v="2023-03-27T00:00:00Z"/>
        <d v="2024-06-18T00:00:00Z"/>
        <d v="2024-10-15T00:00:00Z"/>
        <d v="2025-10-29T00:00:00Z"/>
        <d v="2023-06-11T00:00:00Z"/>
        <d v="2023-07-08T00:00:00Z"/>
        <d v="2025-08-15T00:00:00Z"/>
        <d v="2025-11-08T00:00:00Z"/>
        <d v="2025-04-27T00:00:00Z"/>
        <d v="2023-12-02T00:00:00Z"/>
        <d v="2022-05-02T00:00:00Z"/>
        <d v="2025-04-10T00:00:00Z"/>
        <d v="2025-06-23T00:00:00Z"/>
        <d v="2022-02-28T00:00:00Z"/>
        <d v="2023-07-15T00:00:00Z"/>
        <d v="2025-09-08T00:00:00Z"/>
        <d v="2022-06-28T00:00:00Z"/>
        <d v="2022-05-07T00:00:00Z"/>
        <d v="2024-04-29T00:00:00Z"/>
        <d v="2022-08-18T00:00:00Z"/>
        <d v="2025-08-23T00:00:00Z"/>
        <d v="2024-12-12T00:00:00Z"/>
        <d v="2022-07-27T00:00:00Z"/>
        <d v="2025-03-05T00:00:00Z"/>
        <d v="2024-02-16T00:00:00Z"/>
        <d v="2022-05-12T00:00:00Z"/>
        <d v="2025-07-23T00:00:00Z"/>
        <d v="2024-02-18T00:00:00Z"/>
        <d v="2024-04-21T00:00:00Z"/>
        <d v="2024-11-26T00:00:00Z"/>
        <d v="2023-09-01T00:00:00Z"/>
        <d v="2025-06-02T00:00:00Z"/>
        <d v="2023-08-07T00:00:00Z"/>
        <d v="2025-10-12T00:00:00Z"/>
        <d v="2025-04-28T00:00:00Z"/>
        <d v="2022-05-15T00:00:00Z"/>
        <d v="2022-11-16T00:00:00Z"/>
        <d v="2025-04-17T00:00:00Z"/>
        <d v="2024-11-15T00:00:00Z"/>
        <d v="2022-01-23T00:00:00Z"/>
        <d v="2024-07-18T00:00:00Z"/>
        <d v="2025-05-11T00:00:00Z"/>
        <d v="2024-04-25T00:00:00Z"/>
        <d v="2022-02-08T00:00:00Z"/>
        <d v="2023-07-04T00:00:00Z"/>
        <d v="2022-04-11T00:00:00Z"/>
        <d v="2024-02-02T00:00:00Z"/>
        <d v="2022-12-23T00:00:00Z"/>
        <d v="2024-08-30T00:00:00Z"/>
        <d v="2022-07-23T00:00:00Z"/>
        <d v="2024-01-25T00:00:00Z"/>
        <d v="2024-09-06T00:00:00Z"/>
        <d v="2025-06-07T00:00:00Z"/>
        <d v="2025-09-10T00:00:00Z"/>
        <d v="2022-12-22T00:00:00Z"/>
        <d v="2022-08-05T00:00:00Z"/>
        <d v="2024-03-04T00:00:00Z"/>
        <d v="2023-03-30T00:00:00Z"/>
        <d v="2022-07-11T00:00:00Z"/>
        <d v="2022-07-28T00:00:00Z"/>
        <d v="2023-03-15T00:00:00Z"/>
        <d v="2023-12-26T00:00:00Z"/>
        <d v="2022-02-13T00:00:00Z"/>
        <d v="2024-12-07T00:00:00Z"/>
        <d v="2025-09-15T00:00:00Z"/>
        <d v="2023-11-17T00:00:00Z"/>
        <d v="2025-03-01T00:00:00Z"/>
        <d v="2024-07-03T00:00:00Z"/>
        <d v="2022-08-22T00:00:00Z"/>
        <d v="2025-03-11T00:00:00Z"/>
        <d v="2023-08-04T00:00:00Z"/>
        <d v="2025-01-02T00:00:00Z"/>
        <d v="2022-02-15T00:00:00Z"/>
        <d v="2022-08-19T00:00:00Z"/>
        <d v="2022-06-19T00:00:00Z"/>
        <d v="2024-10-26T00:00:00Z"/>
        <d v="2022-02-04T00:00:00Z"/>
        <d v="2023-04-19T00:00:00Z"/>
        <d v="2024-03-26T00:00:00Z"/>
        <d v="2022-10-06T00:00:00Z"/>
        <d v="2024-07-27T00:00:00Z"/>
        <d v="2024-10-18T00:00:00Z"/>
        <d v="2022-05-30T00:00:00Z"/>
        <d v="2022-07-03T00:00:00Z"/>
        <d v="2024-01-27T00:00:00Z"/>
        <d v="2023-07-22T00:00:00Z"/>
        <d v="2022-04-27T00:00:00Z"/>
        <d v="2024-08-08T00:00:00Z"/>
        <d v="2023-10-12T00:00:00Z"/>
        <d v="2022-01-26T00:00:00Z"/>
        <d v="2025-11-29T00:00:00Z"/>
        <d v="2023-11-28T00:00:00Z"/>
        <d v="2024-05-06T00:00:00Z"/>
        <d v="2024-05-28T00:00:00Z"/>
        <d v="2024-01-31T00:00:00Z"/>
        <d v="2024-09-11T00:00:00Z"/>
        <d v="2025-08-11T00:00:00Z"/>
        <d v="2025-06-26T00:00:00Z"/>
        <d v="2022-10-23T00:00:00Z"/>
        <d v="2024-12-22T00:00:00Z"/>
        <d v="2023-03-29T00:00:00Z"/>
        <d v="2023-09-30T00:00:00Z"/>
        <d v="2025-07-19T00:00:00Z"/>
        <d v="2025-04-15T00:00:00Z"/>
        <d v="2023-10-28T00:00:00Z"/>
        <d v="2024-02-23T00:00:00Z"/>
        <d v="2023-07-19T00:00:00Z"/>
        <d v="2025-09-02T00:00:00Z"/>
        <d v="2024-08-16T00:00:00Z"/>
      </sharedItems>
    </cacheField>
    <cacheField name="supervisor_id" numFmtId="0">
      <sharedItems containsString="0" containsBlank="1" containsNumber="1" containsInteger="1">
        <n v="75.0"/>
        <n v="143.0"/>
        <n v="46.0"/>
        <n v="83.0"/>
        <n v="151.0"/>
        <n v="53.0"/>
        <n v="52.0"/>
        <n v="77.0"/>
        <n v="82.0"/>
        <n v="97.0"/>
        <n v="204.0"/>
        <n v="108.0"/>
        <n v="111.0"/>
        <n v="54.0"/>
        <n v="61.0"/>
        <n v="130.0"/>
        <n v="172.0"/>
        <n v="173.0"/>
        <n v="205.0"/>
        <n v="161.0"/>
        <n v="206.0"/>
        <n v="225.0"/>
        <n v="56.0"/>
        <n v="76.0"/>
        <n v="91.0"/>
        <n v="193.0"/>
        <n v="38.0"/>
        <n v="41.0"/>
        <n v="102.0"/>
        <n v="230.0"/>
        <n v="68.0"/>
        <n v="237.0"/>
        <n v="84.0"/>
        <n v="238.0"/>
        <n v="50.0"/>
        <n v="94.0"/>
        <n v="100.0"/>
        <n v="240.0"/>
        <n v="107.0"/>
        <n v="140.0"/>
        <n v="142.0"/>
        <n v="236.0"/>
        <n v="92.0"/>
        <n v="158.0"/>
        <n v="120.0"/>
        <n v="187.0"/>
        <n v="159.0"/>
        <n v="178.0"/>
        <n v="179.0"/>
        <n v="217.0"/>
        <n v="219.0"/>
        <n v="36.0"/>
        <n v="214.0"/>
        <n v="242.0"/>
        <n v="233.0"/>
        <n v="239.0"/>
        <n v="104.0"/>
        <n v="37.0"/>
        <n v="138.0"/>
        <n v="70.0"/>
        <m/>
      </sharedItems>
    </cacheField>
    <cacheField name="ssn" numFmtId="0">
      <sharedItems>
        <s v="619-18-1038"/>
        <s v="136-64-7895"/>
        <s v="580-51-6195"/>
        <s v="829-92-7704"/>
        <s v="307-96-1759"/>
        <s v="317-55-3981"/>
        <s v="481-70-8666"/>
        <s v="364-44-6514"/>
        <s v="148-79-7811"/>
        <s v="581-59-8922"/>
        <s v="123-72-2715"/>
        <s v="251-80-2745"/>
        <s v="653-16-6066"/>
        <s v="810-64-3700"/>
        <s v="803-60-2931"/>
        <s v="865-93-9841"/>
        <s v="194-15-4388"/>
        <s v="353-38-5224"/>
        <s v="459-59-9534"/>
        <s v="127-36-6698"/>
        <s v="689-19-5128"/>
        <s v="175-75-8710"/>
        <s v="888-21-8125"/>
        <s v="771-42-1608"/>
        <s v="257-76-5546"/>
        <s v="527-48-1330"/>
        <s v="546-17-1776"/>
        <s v="853-12-3556"/>
        <s v="474-88-3884"/>
        <s v="869-51-3310"/>
        <s v="251-82-9400"/>
        <s v="751-92-1553"/>
        <s v="435-14-5796"/>
        <s v="731-50-2813"/>
        <s v="243-65-6656"/>
        <s v="345-60-8860"/>
        <s v="889-36-4388"/>
        <s v="176-48-6573"/>
        <s v="735-58-2198"/>
        <s v="869-17-8381"/>
        <s v="340-24-2124"/>
        <s v="617-50-8514"/>
        <s v="608-34-4925"/>
        <s v="164-91-1817"/>
        <s v="596-44-8920"/>
        <s v="591-64-7370"/>
        <s v="803-88-6639"/>
        <s v="452-26-8790"/>
        <s v="799-99-5978"/>
        <s v="684-38-3978"/>
        <s v="427-17-1088"/>
        <s v="825-53-5448"/>
        <s v="404-50-5215"/>
        <s v="664-70-8014"/>
        <s v="187-37-6943"/>
        <s v="588-93-7276"/>
        <s v="732-66-9901"/>
        <s v="556-17-4757"/>
        <s v="615-21-2554"/>
        <s v="737-24-6251"/>
        <s v="684-98-7839"/>
        <s v="451-93-2473"/>
        <s v="224-52-8187"/>
        <s v="565-35-1344"/>
        <s v="759-94-7872"/>
        <s v="372-21-3198"/>
        <s v="645-55-7793"/>
        <s v="254-26-6463"/>
        <s v="244-61-5981"/>
        <s v="679-83-8980"/>
        <s v="548-49-9264"/>
        <s v="732-28-8309"/>
        <s v="635-66-5589"/>
        <s v="366-72-8263"/>
        <s v="299-80-7034"/>
        <s v="175-13-9423"/>
        <s v="130-86-4571"/>
        <s v="679-86-4086"/>
        <s v="504-30-8673"/>
        <s v="168-11-6269"/>
        <s v="668-97-4163"/>
        <s v="825-48-8429"/>
        <s v="445-10-9295"/>
        <s v="232-11-6199"/>
        <s v="552-35-1975"/>
        <s v="773-86-7266"/>
        <s v="876-56-1645"/>
        <s v="501-66-1096"/>
        <s v="331-40-7694"/>
        <s v="411-10-7307"/>
        <s v="580-32-4352"/>
        <s v="326-97-8137"/>
        <s v="271-40-2891"/>
        <s v="701-57-1178"/>
        <s v="197-43-1850"/>
        <s v="617-14-7470"/>
        <s v="360-56-2811"/>
        <s v="457-38-9055"/>
        <s v="833-73-8746"/>
        <s v="748-34-3362"/>
        <s v="338-46-7768"/>
        <s v="568-53-6793"/>
        <s v="108-62-5393"/>
        <s v="871-60-1817"/>
        <s v="516-67-1085"/>
        <s v="115-94-4698"/>
        <s v="884-36-4303"/>
        <s v="666-76-6645"/>
        <s v="213-43-7631"/>
        <s v="662-98-8250"/>
        <s v="281-85-2776"/>
        <s v="147-14-5954"/>
        <s v="890-88-5594"/>
        <s v="849-55-3452"/>
        <s v="866-36-9142"/>
        <s v="527-67-3188"/>
        <s v="198-64-6681"/>
        <s v="861-32-8843"/>
        <s v="721-60-5926"/>
        <s v="207-61-9311"/>
        <s v="352-43-7666"/>
        <s v="107-37-5286"/>
        <s v="295-94-8474"/>
        <s v="576-11-3907"/>
        <s v="383-78-2915"/>
        <s v="603-52-6562"/>
        <s v="697-12-3347"/>
        <s v="228-37-5923"/>
        <s v="628-16-9107"/>
        <s v="636-13-8273"/>
        <s v="742-26-4823"/>
        <s v="397-19-4469"/>
        <s v="714-94-3663"/>
        <s v="885-39-6288"/>
        <s v="369-89-3799"/>
        <s v="416-56-6067"/>
        <s v="334-94-6799"/>
        <s v="195-55-6572"/>
        <s v="674-57-6235"/>
        <s v="763-32-5599"/>
        <s v="512-57-3321"/>
        <s v="439-37-9650"/>
        <s v="438-70-9055"/>
        <s v="156-56-8782"/>
        <s v="281-36-1470"/>
        <s v="806-37-6770"/>
        <s v="620-71-3401"/>
        <s v="702-29-6179"/>
        <s v="418-91-2400"/>
        <s v="615-94-2203"/>
        <s v="284-38-3520"/>
        <s v="367-13-3637"/>
        <s v="832-24-3240"/>
        <s v="114-89-8139"/>
        <s v="305-52-3241"/>
        <s v="437-77-6370"/>
        <s v="492-26-8034"/>
        <s v="888-57-5597"/>
        <s v="882-30-7457"/>
        <s v="526-25-8789"/>
        <s v="130-42-4456"/>
        <s v="409-94-8467"/>
        <s v="502-73-6879"/>
        <s v="202-45-7738"/>
        <s v="513-51-1717"/>
        <s v="504-51-9369"/>
        <s v="656-44-1368"/>
        <s v="357-34-7615"/>
        <s v="106-86-8875"/>
        <s v="199-81-2352"/>
        <s v="405-42-2055"/>
        <s v="730-95-6567"/>
        <s v="326-11-2864"/>
        <s v="889-51-3419"/>
        <s v="642-95-5389"/>
        <s v="818-37-2257"/>
        <s v="409-78-5529"/>
        <s v="376-77-2757"/>
        <s v="834-23-3222"/>
        <s v="632-87-2447"/>
        <s v="836-41-5533"/>
        <s v="400-27-7524"/>
        <s v="672-59-6779"/>
        <s v="816-67-1504"/>
        <s v="155-88-8300"/>
        <s v="324-86-4224"/>
        <s v="418-64-3092"/>
        <s v="275-15-9631"/>
        <s v="281-23-6738"/>
        <s v="129-59-1452"/>
        <s v="636-29-8667"/>
        <s v="795-59-4956"/>
        <s v="216-94-8829"/>
        <s v="207-37-8399"/>
        <s v="747-10-8951"/>
        <s v="653-64-4510"/>
        <s v="280-79-7139"/>
        <s v="841-95-6616"/>
        <s v="636-48-9413"/>
        <s v="807-44-4947"/>
        <s v="722-13-3057"/>
        <s v="569-91-9228"/>
        <s v="617-51-3109"/>
        <s v="393-37-4819"/>
        <s v="419-72-1306"/>
        <s v="268-28-6790"/>
        <s v="877-95-5728"/>
        <s v="460-41-9896"/>
        <s v="280-79-5957"/>
        <s v="624-72-8344"/>
        <s v="382-97-8626"/>
        <s v="614-28-2252"/>
        <s v="685-59-3529"/>
        <s v="581-74-7229"/>
        <s v="459-40-7227"/>
        <s v="695-15-9999"/>
        <s v="467-33-9680"/>
        <s v="835-50-6978"/>
        <s v="597-91-8077"/>
        <s v="109-60-1130"/>
        <s v="838-97-8614"/>
        <s v="263-78-7391"/>
        <s v="651-13-6944"/>
        <s v="751-76-2929"/>
        <s v="866-58-5815"/>
        <s v="826-87-7957"/>
        <s v="620-16-5546"/>
        <s v="851-79-8525"/>
        <s v="262-50-6659"/>
        <s v="835-46-2678"/>
        <s v="680-97-6891"/>
        <s v="692-75-6765"/>
        <s v="487-94-3132"/>
        <s v="536-25-2681"/>
        <s v="744-80-1877"/>
        <s v="505-51-3819"/>
        <s v="261-82-8065"/>
        <s v="484-55-2168"/>
        <s v="107-15-5229"/>
        <s v="379-36-9905"/>
        <s v="673-62-2710"/>
        <s v="626-88-2575"/>
      </sharedItems>
    </cacheField>
    <cacheField name="date_of_birth" numFmtId="166">
      <sharedItems containsSemiMixedTypes="0" containsDate="1" containsString="0">
        <d v="1999-02-01T00:00:00Z"/>
        <d v="2000-04-03T00:00:00Z"/>
        <d v="1998-09-14T00:00:00Z"/>
        <d v="1990-01-14T00:00:00Z"/>
        <d v="1985-10-22T00:00:00Z"/>
        <d v="1988-07-05T00:00:00Z"/>
        <d v="1995-01-21T00:00:00Z"/>
        <d v="1985-05-25T00:00:00Z"/>
        <d v="1992-08-13T00:00:00Z"/>
        <d v="1995-03-18T00:00:00Z"/>
        <d v="1992-11-07T00:00:00Z"/>
        <d v="1993-07-02T00:00:00Z"/>
        <d v="1991-04-29T00:00:00Z"/>
        <d v="1997-12-05T00:00:00Z"/>
        <d v="1987-05-13T00:00:00Z"/>
        <d v="1997-01-02T00:00:00Z"/>
        <d v="1987-01-05T00:00:00Z"/>
        <d v="1998-08-17T00:00:00Z"/>
        <d v="1986-05-25T00:00:00Z"/>
        <d v="1985-10-12T00:00:00Z"/>
        <d v="1993-09-11T00:00:00Z"/>
        <d v="1998-09-30T00:00:00Z"/>
        <d v="1991-02-04T00:00:00Z"/>
        <d v="1990-01-08T00:00:00Z"/>
        <d v="1986-12-12T00:00:00Z"/>
        <d v="2002-10-12T00:00:00Z"/>
        <d v="1997-05-23T00:00:00Z"/>
        <d v="1990-01-30T00:00:00Z"/>
        <d v="1995-01-14T00:00:00Z"/>
        <d v="1993-02-05T00:00:00Z"/>
        <d v="1999-12-10T00:00:00Z"/>
        <d v="1997-03-14T00:00:00Z"/>
        <d v="1988-07-04T00:00:00Z"/>
        <d v="1988-02-02T00:00:00Z"/>
        <d v="1995-09-09T00:00:00Z"/>
        <d v="1991-06-11T00:00:00Z"/>
        <d v="1992-11-19T00:00:00Z"/>
        <d v="2002-05-23T00:00:00Z"/>
        <d v="1981-05-15T00:00:00Z"/>
        <d v="1988-12-24T00:00:00Z"/>
        <d v="1990-10-21T00:00:00Z"/>
        <d v="1995-08-17T00:00:00Z"/>
        <d v="1991-05-13T00:00:00Z"/>
        <d v="1989-04-07T00:00:00Z"/>
        <d v="1995-06-26T00:00:00Z"/>
        <d v="1999-08-03T00:00:00Z"/>
        <d v="1998-09-11T00:00:00Z"/>
        <d v="1992-03-09T00:00:00Z"/>
        <d v="1988-01-27T00:00:00Z"/>
        <d v="1987-12-31T00:00:00Z"/>
        <d v="1993-02-10T00:00:00Z"/>
        <d v="1981-05-14T00:00:00Z"/>
        <d v="1975-07-07T00:00:00Z"/>
        <d v="1987-11-15T00:00:00Z"/>
        <d v="1978-11-21T00:00:00Z"/>
        <d v="1995-08-31T00:00:00Z"/>
        <d v="2001-01-18T00:00:00Z"/>
        <d v="1988-06-01T00:00:00Z"/>
        <d v="1991-04-19T00:00:00Z"/>
        <d v="1989-12-14T00:00:00Z"/>
        <d v="1987-03-15T00:00:00Z"/>
        <d v="1986-06-11T00:00:00Z"/>
        <d v="1994-08-02T00:00:00Z"/>
        <d v="1985-02-28T00:00:00Z"/>
        <d v="1989-10-20T00:00:00Z"/>
        <d v="2001-01-29T00:00:00Z"/>
        <d v="1982-06-29T00:00:00Z"/>
        <d v="1999-04-03T00:00:00Z"/>
        <d v="1980-01-20T00:00:00Z"/>
        <d v="1984-03-05T00:00:00Z"/>
        <d v="1986-07-01T00:00:00Z"/>
        <d v="1988-10-14T00:00:00Z"/>
        <d v="1994-10-18T00:00:00Z"/>
        <d v="1975-08-16T00:00:00Z"/>
        <d v="1994-10-03T00:00:00Z"/>
        <d v="1977-11-20T00:00:00Z"/>
        <d v="1999-01-02T00:00:00Z"/>
        <d v="1988-10-08T00:00:00Z"/>
        <d v="1997-02-01T00:00:00Z"/>
        <d v="2002-08-22T00:00:00Z"/>
        <d v="1987-07-05T00:00:00Z"/>
        <d v="1982-12-31T00:00:00Z"/>
        <d v="1983-04-25T00:00:00Z"/>
        <d v="2002-12-28T00:00:00Z"/>
        <d v="1992-12-23T00:00:00Z"/>
        <d v="2002-05-14T00:00:00Z"/>
        <d v="1970-07-06T00:00:00Z"/>
        <d v="1987-04-03T00:00:00Z"/>
        <d v="1980-07-04T00:00:00Z"/>
        <d v="1974-05-06T00:00:00Z"/>
        <d v="1995-10-20T00:00:00Z"/>
        <d v="1993-07-03T00:00:00Z"/>
        <d v="1985-05-28T00:00:00Z"/>
        <d v="1985-04-06T00:00:00Z"/>
        <d v="1993-08-15T00:00:00Z"/>
        <d v="1980-09-18T00:00:00Z"/>
        <d v="1996-08-08T00:00:00Z"/>
        <d v="1986-08-04T00:00:00Z"/>
        <d v="1994-03-02T00:00:00Z"/>
        <d v="1998-09-19T00:00:00Z"/>
        <d v="1983-05-28T00:00:00Z"/>
        <d v="1998-07-05T00:00:00Z"/>
        <d v="1992-10-27T00:00:00Z"/>
        <d v="1990-04-13T00:00:00Z"/>
        <d v="2002-02-16T00:00:00Z"/>
        <d v="1976-03-01T00:00:00Z"/>
        <d v="1979-03-19T00:00:00Z"/>
        <d v="2000-04-04T00:00:00Z"/>
        <d v="1994-02-19T00:00:00Z"/>
        <d v="1992-03-06T00:00:00Z"/>
        <d v="1987-02-12T00:00:00Z"/>
        <d v="2001-10-12T00:00:00Z"/>
        <d v="1994-09-03T00:00:00Z"/>
        <d v="1988-06-09T00:00:00Z"/>
        <d v="2000-03-20T00:00:00Z"/>
        <d v="1989-09-17T00:00:00Z"/>
        <d v="1982-04-05T00:00:00Z"/>
        <d v="1990-12-25T00:00:00Z"/>
        <d v="1989-11-11T00:00:00Z"/>
        <d v="1996-03-06T00:00:00Z"/>
        <d v="2002-10-01T00:00:00Z"/>
        <d v="1990-07-05T00:00:00Z"/>
        <d v="1985-12-10T00:00:00Z"/>
        <d v="1991-04-09T00:00:00Z"/>
        <d v="2000-02-15T00:00:00Z"/>
        <d v="1996-08-18T00:00:00Z"/>
        <d v="1990-03-20T00:00:00Z"/>
        <d v="1991-11-01T00:00:00Z"/>
        <d v="1984-03-25T00:00:00Z"/>
        <d v="1994-04-30T00:00:00Z"/>
        <d v="1986-06-13T00:00:00Z"/>
        <d v="1992-12-27T00:00:00Z"/>
        <d v="1995-01-06T00:00:00Z"/>
        <d v="1994-11-14T00:00:00Z"/>
        <d v="2000-02-13T00:00:00Z"/>
        <d v="1976-05-21T00:00:00Z"/>
        <d v="1988-01-08T00:00:00Z"/>
        <d v="1987-07-15T00:00:00Z"/>
        <d v="1985-06-12T00:00:00Z"/>
        <d v="1981-12-12T00:00:00Z"/>
        <d v="1992-05-22T00:00:00Z"/>
        <d v="2001-10-20T00:00:00Z"/>
        <d v="1988-03-26T00:00:00Z"/>
        <d v="1990-12-02T00:00:00Z"/>
        <d v="1986-12-05T00:00:00Z"/>
        <d v="1996-10-15T00:00:00Z"/>
        <d v="2002-03-19T00:00:00Z"/>
        <d v="1985-08-17T00:00:00Z"/>
        <d v="1985-12-31T00:00:00Z"/>
        <d v="1988-03-09T00:00:00Z"/>
        <d v="1997-03-13T00:00:00Z"/>
        <d v="1991-05-10T00:00:00Z"/>
        <d v="1990-04-27T00:00:00Z"/>
        <d v="1995-02-27T00:00:00Z"/>
        <d v="1972-09-03T00:00:00Z"/>
        <d v="1975-03-22T00:00:00Z"/>
        <d v="2002-05-21T00:00:00Z"/>
        <d v="1992-01-08T00:00:00Z"/>
        <d v="1989-11-14T00:00:00Z"/>
        <d v="1985-11-17T00:00:00Z"/>
        <d v="1986-06-03T00:00:00Z"/>
        <d v="1982-09-09T00:00:00Z"/>
        <d v="1994-05-26T00:00:00Z"/>
        <d v="1990-12-04T00:00:00Z"/>
        <d v="1997-05-15T00:00:00Z"/>
        <d v="2000-09-30T00:00:00Z"/>
        <d v="1989-04-10T00:00:00Z"/>
        <d v="1992-10-03T00:00:00Z"/>
        <d v="1977-04-18T00:00:00Z"/>
        <d v="1990-04-06T00:00:00Z"/>
        <d v="1996-07-06T00:00:00Z"/>
        <d v="1990-09-24T00:00:00Z"/>
        <d v="1974-07-13T00:00:00Z"/>
        <d v="1981-01-08T00:00:00Z"/>
        <d v="1982-08-10T00:00:00Z"/>
        <d v="1986-11-30T00:00:00Z"/>
        <d v="1985-03-22T00:00:00Z"/>
        <d v="1991-08-19T00:00:00Z"/>
        <d v="1997-05-17T00:00:00Z"/>
        <d v="1995-06-19T00:00:00Z"/>
        <d v="2000-12-25T00:00:00Z"/>
        <d v="2002-04-11T00:00:00Z"/>
        <d v="1981-11-21T00:00:00Z"/>
        <d v="1994-08-29T00:00:00Z"/>
        <d v="2000-01-15T00:00:00Z"/>
        <d v="2000-02-24T00:00:00Z"/>
        <d v="1994-12-08T00:00:00Z"/>
        <d v="1998-02-24T00:00:00Z"/>
        <d v="1970-09-09T00:00:00Z"/>
        <d v="1994-07-15T00:00:00Z"/>
        <d v="2002-07-18T00:00:00Z"/>
        <d v="1985-09-23T00:00:00Z"/>
        <d v="1987-05-26T00:00:00Z"/>
        <d v="1996-09-08T00:00:00Z"/>
        <d v="1997-08-31T00:00:00Z"/>
        <d v="1993-03-30T00:00:00Z"/>
        <d v="2002-06-05T00:00:00Z"/>
        <d v="1994-06-07T00:00:00Z"/>
        <d v="1994-11-03T00:00:00Z"/>
        <d v="1977-11-10T00:00:00Z"/>
        <d v="1979-03-24T00:00:00Z"/>
        <d v="1993-10-12T00:00:00Z"/>
        <d v="1990-02-28T00:00:00Z"/>
        <d v="1985-08-15T00:00:00Z"/>
        <d v="1987-08-09T00:00:00Z"/>
        <d v="1986-05-30T00:00:00Z"/>
        <d v="1998-10-18T00:00:00Z"/>
        <d v="1995-06-08T00:00:00Z"/>
        <d v="1993-10-21T00:00:00Z"/>
        <d v="1975-01-04T00:00:00Z"/>
        <d v="1984-04-04T00:00:00Z"/>
        <d v="1995-01-01T00:00:00Z"/>
        <d v="1965-08-08T00:00:00Z"/>
        <d v="2000-12-24T00:00:00Z"/>
        <d v="1966-05-22T00:00:00Z"/>
        <d v="1989-01-02T00:00:00Z"/>
        <d v="2002-06-02T00:00:00Z"/>
        <d v="2002-02-08T00:00:00Z"/>
        <d v="1995-08-16T00:00:00Z"/>
        <d v="1993-07-21T00:00:00Z"/>
        <d v="1987-05-19T00:00:00Z"/>
        <d v="1986-04-15T00:00:00Z"/>
        <d v="1997-02-23T00:00:00Z"/>
        <d v="1994-10-11T00:00:00Z"/>
        <d v="1994-06-04T00:00:00Z"/>
        <d v="1978-05-04T00:00:00Z"/>
        <d v="1980-01-16T00:00:00Z"/>
        <d v="1989-09-05T00:00:00Z"/>
        <d v="1983-01-19T00:00:00Z"/>
        <d v="1989-12-05T00:00:00Z"/>
        <d v="1984-06-06T00:00:00Z"/>
        <d v="1972-07-31T00:00:00Z"/>
        <d v="1975-07-19T00:00:00Z"/>
        <d v="1982-02-05T00:00:00Z"/>
        <d v="1972-06-04T00:00:00Z"/>
        <d v="1965-07-05T00:00:00Z"/>
        <d v="1999-04-25T00:00:00Z"/>
        <d v="1984-06-13T00:00:00Z"/>
      </sharedItems>
    </cacheField>
    <cacheField name="gender" numFmtId="0">
      <sharedItems>
        <s v="Female"/>
        <s v="Male"/>
        <s v="Non-Binary"/>
        <s v="Prefer Not to Say"/>
      </sharedItems>
    </cacheField>
    <cacheField name="marital_status" numFmtId="0">
      <sharedItems>
        <s v="Single"/>
        <s v="Married"/>
        <s v="Divorced"/>
        <s v="Widowed"/>
      </sharedItems>
    </cacheField>
    <cacheField name="ethnicity" numFmtId="0">
      <sharedItems>
        <s v="Hispanic or Latino"/>
        <s v="Asian"/>
        <s v="White"/>
        <s v="Two or More Races"/>
        <s v="Prefer Not to Say"/>
        <s v="Black or African American"/>
      </sharedItems>
    </cacheField>
    <cacheField name="salary" numFmtId="0">
      <sharedItems containsSemiMixedTypes="0" containsString="0" containsNumber="1" containsInteger="1">
        <n v="144000.0"/>
        <n v="160000.0"/>
        <n v="108000.0"/>
        <n v="129000.0"/>
        <n v="142000.0"/>
        <n v="131000.0"/>
        <n v="198000.0"/>
        <n v="133000.0"/>
        <n v="109000.0"/>
        <n v="116000.0"/>
        <n v="147000.0"/>
        <n v="166000.0"/>
        <n v="173000.0"/>
        <n v="117000.0"/>
        <n v="205000.0"/>
        <n v="148000.0"/>
        <n v="124000.0"/>
        <n v="135000.0"/>
        <n v="134000.0"/>
        <n v="122000.0"/>
        <n v="164000.0"/>
        <n v="167000.0"/>
        <n v="121000.0"/>
        <n v="115000.0"/>
        <n v="120000.0"/>
        <n v="157000.0"/>
        <n v="145000.0"/>
        <n v="183000.0"/>
        <n v="187000.0"/>
        <n v="80000.0"/>
        <n v="184000.0"/>
        <n v="127000.0"/>
        <n v="82000.0"/>
        <n v="119000.0"/>
        <n v="126000.0"/>
        <n v="175000.0"/>
        <n v="189000.0"/>
        <n v="208000.0"/>
        <n v="155000.0"/>
        <n v="156000.0"/>
        <n v="151000.0"/>
        <n v="191000.0"/>
        <n v="75000.0"/>
        <n v="110000.0"/>
        <n v="153000.0"/>
        <n v="125000.0"/>
        <n v="112000.0"/>
        <n v="210000.0"/>
        <n v="150000.0"/>
        <n v="91000.0"/>
        <n v="101000.0"/>
        <n v="174000.0"/>
        <n v="154000.0"/>
        <n v="203000.0"/>
        <n v="104000.0"/>
        <n v="141000.0"/>
        <n v="193000.0"/>
        <n v="102000.0"/>
        <n v="132000.0"/>
        <n v="246000.0"/>
        <n v="282000.0"/>
        <n v="152000.0"/>
        <n v="256000.0"/>
        <n v="178000.0"/>
        <n v="185000.0"/>
        <n v="195000.0"/>
        <n v="201000.0"/>
        <n v="137000.0"/>
        <n v="181000.0"/>
        <n v="328000.0"/>
        <n v="118000.0"/>
        <n v="163000.0"/>
        <n v="207000.0"/>
        <n v="162000.0"/>
        <n v="179000.0"/>
        <n v="114000.0"/>
        <n v="136000.0"/>
        <n v="209000.0"/>
        <n v="149000.0"/>
        <n v="146000.0"/>
        <n v="140000.0"/>
        <n v="113000.0"/>
        <n v="123000.0"/>
        <n v="186000.0"/>
        <n v="86000.0"/>
        <n v="100000.0"/>
        <n v="165000.0"/>
        <n v="172000.0"/>
        <n v="199000.0"/>
        <n v="197000.0"/>
        <n v="139000.0"/>
        <n v="168000.0"/>
        <n v="318000.0"/>
        <n v="83000.0"/>
        <n v="78000.0"/>
        <n v="177000.0"/>
        <n v="232000.0"/>
        <n v="250000.0"/>
        <n v="98000.0"/>
        <n v="206000.0"/>
        <n v="161000.0"/>
        <n v="158000.0"/>
        <n v="111000.0"/>
        <n v="244000.0"/>
        <n v="95000.0"/>
        <n v="194000.0"/>
        <n v="200000.0"/>
        <n v="348000.0"/>
        <n v="128000.0"/>
        <n v="182000.0"/>
        <n v="204000.0"/>
        <n v="89000.0"/>
        <n v="279000.0"/>
        <n v="90000.0"/>
        <n v="325000.0"/>
        <n v="192000.0"/>
        <n v="143000.0"/>
        <n v="169000.0"/>
        <n v="228000.0"/>
        <n v="188000.0"/>
        <n v="358000.0"/>
        <n v="236000.0"/>
        <n v="249000.0"/>
        <n v="271000.0"/>
      </sharedItems>
    </cacheField>
    <cacheField name="pay_rate" numFmtId="0">
      <sharedItems containsSemiMixedTypes="0" containsString="0" containsNumber="1" containsInteger="1">
        <n v="144000.0"/>
        <n v="160000.0"/>
        <n v="108000.0"/>
        <n v="129000.0"/>
        <n v="142000.0"/>
        <n v="131000.0"/>
        <n v="198000.0"/>
        <n v="133000.0"/>
        <n v="109000.0"/>
        <n v="116000.0"/>
        <n v="147000.0"/>
        <n v="166000.0"/>
        <n v="173000.0"/>
        <n v="117000.0"/>
        <n v="205000.0"/>
        <n v="148000.0"/>
        <n v="124000.0"/>
        <n v="135000.0"/>
        <n v="134000.0"/>
        <n v="122000.0"/>
        <n v="164000.0"/>
        <n v="167000.0"/>
        <n v="121000.0"/>
        <n v="115000.0"/>
        <n v="120000.0"/>
        <n v="157000.0"/>
        <n v="145000.0"/>
        <n v="183000.0"/>
        <n v="187000.0"/>
        <n v="80000.0"/>
        <n v="184000.0"/>
        <n v="127000.0"/>
        <n v="82000.0"/>
        <n v="119000.0"/>
        <n v="126000.0"/>
        <n v="175000.0"/>
        <n v="189000.0"/>
        <n v="208000.0"/>
        <n v="155000.0"/>
        <n v="156000.0"/>
        <n v="151000.0"/>
        <n v="191000.0"/>
        <n v="75000.0"/>
        <n v="110000.0"/>
        <n v="153000.0"/>
        <n v="125000.0"/>
        <n v="112000.0"/>
        <n v="210000.0"/>
        <n v="150000.0"/>
        <n v="91000.0"/>
        <n v="101000.0"/>
        <n v="174000.0"/>
        <n v="154000.0"/>
        <n v="203000.0"/>
        <n v="104000.0"/>
        <n v="141000.0"/>
        <n v="193000.0"/>
        <n v="102000.0"/>
        <n v="132000.0"/>
        <n v="246000.0"/>
        <n v="282000.0"/>
        <n v="152000.0"/>
        <n v="256000.0"/>
        <n v="178000.0"/>
        <n v="185000.0"/>
        <n v="195000.0"/>
        <n v="201000.0"/>
        <n v="137000.0"/>
        <n v="181000.0"/>
        <n v="328000.0"/>
        <n v="118000.0"/>
        <n v="163000.0"/>
        <n v="207000.0"/>
        <n v="162000.0"/>
        <n v="179000.0"/>
        <n v="114000.0"/>
        <n v="136000.0"/>
        <n v="209000.0"/>
        <n v="149000.0"/>
        <n v="146000.0"/>
        <n v="140000.0"/>
        <n v="113000.0"/>
        <n v="123000.0"/>
        <n v="186000.0"/>
        <n v="86000.0"/>
        <n v="100000.0"/>
        <n v="165000.0"/>
        <n v="172000.0"/>
        <n v="199000.0"/>
        <n v="197000.0"/>
        <n v="139000.0"/>
        <n v="168000.0"/>
        <n v="318000.0"/>
        <n v="83000.0"/>
        <n v="78000.0"/>
        <n v="177000.0"/>
        <n v="232000.0"/>
        <n v="250000.0"/>
        <n v="98000.0"/>
        <n v="206000.0"/>
        <n v="161000.0"/>
        <n v="158000.0"/>
        <n v="111000.0"/>
        <n v="244000.0"/>
        <n v="95000.0"/>
        <n v="194000.0"/>
        <n v="200000.0"/>
        <n v="348000.0"/>
        <n v="128000.0"/>
        <n v="182000.0"/>
        <n v="204000.0"/>
        <n v="89000.0"/>
        <n v="279000.0"/>
        <n v="90000.0"/>
        <n v="325000.0"/>
        <n v="192000.0"/>
        <n v="143000.0"/>
        <n v="169000.0"/>
        <n v="228000.0"/>
        <n v="188000.0"/>
        <n v="358000.0"/>
        <n v="236000.0"/>
        <n v="249000.0"/>
        <n v="271000.0"/>
      </sharedItems>
    </cacheField>
    <cacheField name="pay_per" numFmtId="0">
      <sharedItems>
        <s v="Year"/>
      </sharedItems>
    </cacheField>
    <cacheField name="pay_type" numFmtId="0">
      <sharedItems>
        <s v="Salary"/>
      </sharedItems>
    </cacheField>
    <cacheField name="pay_schedule" numFmtId="0">
      <sharedItems>
        <s v="Semi-Monthly"/>
        <s v="Monthly"/>
        <s v="Bi-Weekly"/>
      </sharedItems>
    </cacheField>
    <cacheField name="photo_url" numFmtId="0">
      <sharedItems>
        <s v="https://cdn.singlesignal.com/photos/emp-0001.jpg"/>
        <s v="https://cdn.singlesignal.com/photos/emp-0002.jpg"/>
        <s v="https://cdn.singlesignal.com/photos/emp-0003.jpg"/>
        <s v="https://cdn.singlesignal.com/photos/emp-0004.jpg"/>
        <s v="https://cdn.singlesignal.com/photos/emp-0005.jpg"/>
        <s v="https://cdn.singlesignal.com/photos/emp-0006.jpg"/>
        <s v="https://cdn.singlesignal.com/photos/emp-0007.jpg"/>
        <s v="https://cdn.singlesignal.com/photos/emp-0008.jpg"/>
        <s v="https://cdn.singlesignal.com/photos/emp-0009.jpg"/>
        <s v="https://cdn.singlesignal.com/photos/emp-0010.jpg"/>
        <s v="https://cdn.singlesignal.com/photos/emp-0011.jpg"/>
        <s v="https://cdn.singlesignal.com/photos/emp-0012.jpg"/>
        <s v="https://cdn.singlesignal.com/photos/emp-0013.jpg"/>
        <s v="https://cdn.singlesignal.com/photos/emp-0014.jpg"/>
        <s v="https://cdn.singlesignal.com/photos/emp-0015.jpg"/>
        <s v="https://cdn.singlesignal.com/photos/emp-0016.jpg"/>
        <s v="https://cdn.singlesignal.com/photos/emp-0017.jpg"/>
        <s v="https://cdn.singlesignal.com/photos/emp-0018.jpg"/>
        <s v="https://cdn.singlesignal.com/photos/emp-0019.jpg"/>
        <s v="https://cdn.singlesignal.com/photos/emp-0020.jpg"/>
        <s v="https://cdn.singlesignal.com/photos/emp-0021.jpg"/>
        <s v="https://cdn.singlesignal.com/photos/emp-0022.jpg"/>
        <s v="https://cdn.singlesignal.com/photos/emp-0023.jpg"/>
        <s v="https://cdn.singlesignal.com/photos/emp-0024.jpg"/>
        <s v="https://cdn.singlesignal.com/photos/emp-0025.jpg"/>
        <s v="https://cdn.singlesignal.com/photos/emp-0026.jpg"/>
        <s v="https://cdn.singlesignal.com/photos/emp-0027.jpg"/>
        <s v="https://cdn.singlesignal.com/photos/emp-0028.jpg"/>
        <s v="https://cdn.singlesignal.com/photos/emp-0029.jpg"/>
        <s v="https://cdn.singlesignal.com/photos/emp-0030.jpg"/>
        <s v="https://cdn.singlesignal.com/photos/emp-0031.jpg"/>
        <s v="https://cdn.singlesignal.com/photos/emp-0032.jpg"/>
        <s v="https://cdn.singlesignal.com/photos/emp-0033.jpg"/>
        <s v="https://cdn.singlesignal.com/photos/emp-0034.jpg"/>
        <s v="https://cdn.singlesignal.com/photos/emp-0035.jpg"/>
        <s v="https://cdn.singlesignal.com/photos/emp-0036.jpg"/>
        <s v="https://cdn.singlesignal.com/photos/emp-0037.jpg"/>
        <s v="https://cdn.singlesignal.com/photos/emp-0038.jpg"/>
        <s v="https://cdn.singlesignal.com/photos/emp-0039.jpg"/>
        <s v="https://cdn.singlesignal.com/photos/emp-0040.jpg"/>
        <s v="https://cdn.singlesignal.com/photos/emp-0041.jpg"/>
        <s v="https://cdn.singlesignal.com/photos/emp-0042.jpg"/>
        <s v="https://cdn.singlesignal.com/photos/emp-0043.jpg"/>
        <s v="https://cdn.singlesignal.com/photos/emp-0044.jpg"/>
        <s v="https://cdn.singlesignal.com/photos/emp-0045.jpg"/>
        <s v="https://cdn.singlesignal.com/photos/emp-0046.jpg"/>
        <s v="https://cdn.singlesignal.com/photos/emp-0047.jpg"/>
        <s v="https://cdn.singlesignal.com/photos/emp-0048.jpg"/>
        <s v="https://cdn.singlesignal.com/photos/emp-0049.jpg"/>
        <s v="https://cdn.singlesignal.com/photos/emp-0050.jpg"/>
        <s v="https://cdn.singlesignal.com/photos/emp-0051.jpg"/>
        <s v="https://cdn.singlesignal.com/photos/emp-0052.jpg"/>
        <s v="https://cdn.singlesignal.com/photos/emp-0053.jpg"/>
        <s v="https://cdn.singlesignal.com/photos/emp-0054.jpg"/>
        <s v="https://cdn.singlesignal.com/photos/emp-0055.jpg"/>
        <s v="https://cdn.singlesignal.com/photos/emp-0056.jpg"/>
        <s v="https://cdn.singlesignal.com/photos/emp-0057.jpg"/>
        <s v="https://cdn.singlesignal.com/photos/emp-0058.jpg"/>
        <s v="https://cdn.singlesignal.com/photos/emp-0059.jpg"/>
        <s v="https://cdn.singlesignal.com/photos/emp-0060.jpg"/>
        <s v="https://cdn.singlesignal.com/photos/emp-0061.jpg"/>
        <s v="https://cdn.singlesignal.com/photos/emp-0062.jpg"/>
        <s v="https://cdn.singlesignal.com/photos/emp-0063.jpg"/>
        <s v="https://cdn.singlesignal.com/photos/emp-0064.jpg"/>
        <s v="https://cdn.singlesignal.com/photos/emp-0065.jpg"/>
        <s v="https://cdn.singlesignal.com/photos/emp-0066.jpg"/>
        <s v="https://cdn.singlesignal.com/photos/emp-0067.jpg"/>
        <s v="https://cdn.singlesignal.com/photos/emp-0068.jpg"/>
        <s v="https://cdn.singlesignal.com/photos/emp-0069.jpg"/>
        <s v="https://cdn.singlesignal.com/photos/emp-0070.jpg"/>
        <s v="https://cdn.singlesignal.com/photos/emp-0071.jpg"/>
        <s v="https://cdn.singlesignal.com/photos/emp-0072.jpg"/>
        <s v="https://cdn.singlesignal.com/photos/emp-0073.jpg"/>
        <s v="https://cdn.singlesignal.com/photos/emp-0074.jpg"/>
        <s v="https://cdn.singlesignal.com/photos/emp-0075.jpg"/>
        <s v="https://cdn.singlesignal.com/photos/emp-0076.jpg"/>
        <s v="https://cdn.singlesignal.com/photos/emp-0077.jpg"/>
        <s v="https://cdn.singlesignal.com/photos/emp-0078.jpg"/>
        <s v="https://cdn.singlesignal.com/photos/emp-0079.jpg"/>
        <s v="https://cdn.singlesignal.com/photos/emp-0080.jpg"/>
        <s v="https://cdn.singlesignal.com/photos/emp-0081.jpg"/>
        <s v="https://cdn.singlesignal.com/photos/emp-0082.jpg"/>
        <s v="https://cdn.singlesignal.com/photos/emp-0083.jpg"/>
        <s v="https://cdn.singlesignal.com/photos/emp-0084.jpg"/>
        <s v="https://cdn.singlesignal.com/photos/emp-0085.jpg"/>
        <s v="https://cdn.singlesignal.com/photos/emp-0086.jpg"/>
        <s v="https://cdn.singlesignal.com/photos/emp-0087.jpg"/>
        <s v="https://cdn.singlesignal.com/photos/emp-0088.jpg"/>
        <s v="https://cdn.singlesignal.com/photos/emp-0089.jpg"/>
        <s v="https://cdn.singlesignal.com/photos/emp-0090.jpg"/>
        <s v="https://cdn.singlesignal.com/photos/emp-0091.jpg"/>
        <s v="https://cdn.singlesignal.com/photos/emp-0092.jpg"/>
        <s v="https://cdn.singlesignal.com/photos/emp-0093.jpg"/>
        <s v="https://cdn.singlesignal.com/photos/emp-0094.jpg"/>
        <s v="https://cdn.singlesignal.com/photos/emp-0095.jpg"/>
        <s v="https://cdn.singlesignal.com/photos/emp-0096.jpg"/>
        <s v="https://cdn.singlesignal.com/photos/emp-0097.jpg"/>
        <s v="https://cdn.singlesignal.com/photos/emp-0098.jpg"/>
        <s v="https://cdn.singlesignal.com/photos/emp-0099.jpg"/>
        <s v="https://cdn.singlesignal.com/photos/emp-0100.jpg"/>
        <s v="https://cdn.singlesignal.com/photos/emp-0101.jpg"/>
        <s v="https://cdn.singlesignal.com/photos/emp-0102.jpg"/>
        <s v="https://cdn.singlesignal.com/photos/emp-0103.jpg"/>
        <s v="https://cdn.singlesignal.com/photos/emp-0104.jpg"/>
        <s v="https://cdn.singlesignal.com/photos/emp-0105.jpg"/>
        <s v="https://cdn.singlesignal.com/photos/emp-0106.jpg"/>
        <s v="https://cdn.singlesignal.com/photos/emp-0107.jpg"/>
        <s v="https://cdn.singlesignal.com/photos/emp-0108.jpg"/>
        <s v="https://cdn.singlesignal.com/photos/emp-0109.jpg"/>
        <s v="https://cdn.singlesignal.com/photos/emp-0110.jpg"/>
        <s v="https://cdn.singlesignal.com/photos/emp-0111.jpg"/>
        <s v="https://cdn.singlesignal.com/photos/emp-0112.jpg"/>
        <s v="https://cdn.singlesignal.com/photos/emp-0113.jpg"/>
        <s v="https://cdn.singlesignal.com/photos/emp-0114.jpg"/>
        <s v="https://cdn.singlesignal.com/photos/emp-0115.jpg"/>
        <s v="https://cdn.singlesignal.com/photos/emp-0116.jpg"/>
        <s v="https://cdn.singlesignal.com/photos/emp-0117.jpg"/>
        <s v="https://cdn.singlesignal.com/photos/emp-0118.jpg"/>
        <s v="https://cdn.singlesignal.com/photos/emp-0119.jpg"/>
        <s v="https://cdn.singlesignal.com/photos/emp-0120.jpg"/>
        <s v="https://cdn.singlesignal.com/photos/emp-0121.jpg"/>
        <s v="https://cdn.singlesignal.com/photos/emp-0122.jpg"/>
        <s v="https://cdn.singlesignal.com/photos/emp-0123.jpg"/>
        <s v="https://cdn.singlesignal.com/photos/emp-0124.jpg"/>
        <s v="https://cdn.singlesignal.com/photos/emp-0125.jpg"/>
        <s v="https://cdn.singlesignal.com/photos/emp-0126.jpg"/>
        <s v="https://cdn.singlesignal.com/photos/emp-0127.jpg"/>
        <s v="https://cdn.singlesignal.com/photos/emp-0128.jpg"/>
        <s v="https://cdn.singlesignal.com/photos/emp-0129.jpg"/>
        <s v="https://cdn.singlesignal.com/photos/emp-0130.jpg"/>
        <s v="https://cdn.singlesignal.com/photos/emp-0131.jpg"/>
        <s v="https://cdn.singlesignal.com/photos/emp-0132.jpg"/>
        <s v="https://cdn.singlesignal.com/photos/emp-0133.jpg"/>
        <s v="https://cdn.singlesignal.com/photos/emp-0134.jpg"/>
        <s v="https://cdn.singlesignal.com/photos/emp-0135.jpg"/>
        <s v="https://cdn.singlesignal.com/photos/emp-0136.jpg"/>
        <s v="https://cdn.singlesignal.com/photos/emp-0137.jpg"/>
        <s v="https://cdn.singlesignal.com/photos/emp-0138.jpg"/>
        <s v="https://cdn.singlesignal.com/photos/emp-0139.jpg"/>
        <s v="https://cdn.singlesignal.com/photos/emp-0140.jpg"/>
        <s v="https://cdn.singlesignal.com/photos/emp-0141.jpg"/>
        <s v="https://cdn.singlesignal.com/photos/emp-0142.jpg"/>
        <s v="https://cdn.singlesignal.com/photos/emp-0143.jpg"/>
        <s v="https://cdn.singlesignal.com/photos/emp-0144.jpg"/>
        <s v="https://cdn.singlesignal.com/photos/emp-0145.jpg"/>
        <s v="https://cdn.singlesignal.com/photos/emp-0146.jpg"/>
        <s v="https://cdn.singlesignal.com/photos/emp-0147.jpg"/>
        <s v="https://cdn.singlesignal.com/photos/emp-0148.jpg"/>
        <s v="https://cdn.singlesignal.com/photos/emp-0149.jpg"/>
        <s v="https://cdn.singlesignal.com/photos/emp-0150.jpg"/>
        <s v="https://cdn.singlesignal.com/photos/emp-0151.jpg"/>
        <s v="https://cdn.singlesignal.com/photos/emp-0152.jpg"/>
        <s v="https://cdn.singlesignal.com/photos/emp-0153.jpg"/>
        <s v="https://cdn.singlesignal.com/photos/emp-0154.jpg"/>
        <s v="https://cdn.singlesignal.com/photos/emp-0155.jpg"/>
        <s v="https://cdn.singlesignal.com/photos/emp-0156.jpg"/>
        <s v="https://cdn.singlesignal.com/photos/emp-0157.jpg"/>
        <s v="https://cdn.singlesignal.com/photos/emp-0158.jpg"/>
        <s v="https://cdn.singlesignal.com/photos/emp-0159.jpg"/>
        <s v="https://cdn.singlesignal.com/photos/emp-0160.jpg"/>
        <s v="https://cdn.singlesignal.com/photos/emp-0161.jpg"/>
        <s v="https://cdn.singlesignal.com/photos/emp-0162.jpg"/>
        <s v="https://cdn.singlesignal.com/photos/emp-0163.jpg"/>
        <s v="https://cdn.singlesignal.com/photos/emp-0164.jpg"/>
        <s v="https://cdn.singlesignal.com/photos/emp-0165.jpg"/>
        <s v="https://cdn.singlesignal.com/photos/emp-0166.jpg"/>
        <s v="https://cdn.singlesignal.com/photos/emp-0167.jpg"/>
        <s v="https://cdn.singlesignal.com/photos/emp-0168.jpg"/>
        <s v="https://cdn.singlesignal.com/photos/emp-0169.jpg"/>
        <s v="https://cdn.singlesignal.com/photos/emp-0170.jpg"/>
        <s v="https://cdn.singlesignal.com/photos/emp-0171.jpg"/>
        <s v="https://cdn.singlesignal.com/photos/emp-0172.jpg"/>
        <s v="https://cdn.singlesignal.com/photos/emp-0173.jpg"/>
        <s v="https://cdn.singlesignal.com/photos/emp-0174.jpg"/>
        <s v="https://cdn.singlesignal.com/photos/emp-0175.jpg"/>
        <s v="https://cdn.singlesignal.com/photos/emp-0176.jpg"/>
        <s v="https://cdn.singlesignal.com/photos/emp-0177.jpg"/>
        <s v="https://cdn.singlesignal.com/photos/emp-0178.jpg"/>
        <s v="https://cdn.singlesignal.com/photos/emp-0179.jpg"/>
        <s v="https://cdn.singlesignal.com/photos/emp-0180.jpg"/>
        <s v="https://cdn.singlesignal.com/photos/emp-0181.jpg"/>
        <s v="https://cdn.singlesignal.com/photos/emp-0182.jpg"/>
        <s v="https://cdn.singlesignal.com/photos/emp-0183.jpg"/>
        <s v="https://cdn.singlesignal.com/photos/emp-0184.jpg"/>
        <s v="https://cdn.singlesignal.com/photos/emp-0185.jpg"/>
        <s v="https://cdn.singlesignal.com/photos/emp-0186.jpg"/>
        <s v="https://cdn.singlesignal.com/photos/emp-0187.jpg"/>
        <s v="https://cdn.singlesignal.com/photos/emp-0188.jpg"/>
        <s v="https://cdn.singlesignal.com/photos/emp-0189.jpg"/>
        <s v="https://cdn.singlesignal.com/photos/emp-0190.jpg"/>
        <s v="https://cdn.singlesignal.com/photos/emp-0191.jpg"/>
        <s v="https://cdn.singlesignal.com/photos/emp-0192.jpg"/>
        <s v="https://cdn.singlesignal.com/photos/emp-0193.jpg"/>
        <s v="https://cdn.singlesignal.com/photos/emp-0194.jpg"/>
        <s v="https://cdn.singlesignal.com/photos/emp-0195.jpg"/>
        <s v="https://cdn.singlesignal.com/photos/emp-0196.jpg"/>
        <s v="https://cdn.singlesignal.com/photos/emp-0197.jpg"/>
        <s v="https://cdn.singlesignal.com/photos/emp-0198.jpg"/>
        <s v="https://cdn.singlesignal.com/photos/emp-0199.jpg"/>
        <s v="https://cdn.singlesignal.com/photos/emp-0200.jpg"/>
        <s v="https://cdn.singlesignal.com/photos/emp-0201.jpg"/>
        <s v="https://cdn.singlesignal.com/photos/emp-0202.jpg"/>
        <s v="https://cdn.singlesignal.com/photos/emp-0203.jpg"/>
        <s v="https://cdn.singlesignal.com/photos/emp-0204.jpg"/>
        <s v="https://cdn.singlesignal.com/photos/emp-0205.jpg"/>
        <s v="https://cdn.singlesignal.com/photos/emp-0206.jpg"/>
        <s v="https://cdn.singlesignal.com/photos/emp-0207.jpg"/>
        <s v="https://cdn.singlesignal.com/photos/emp-0208.jpg"/>
        <s v="https://cdn.singlesignal.com/photos/emp-0209.jpg"/>
        <s v="https://cdn.singlesignal.com/photos/emp-0210.jpg"/>
        <s v="https://cdn.singlesignal.com/photos/emp-0211.jpg"/>
        <s v="https://cdn.singlesignal.com/photos/emp-0212.jpg"/>
        <s v="https://cdn.singlesignal.com/photos/emp-0213.jpg"/>
        <s v="https://cdn.singlesignal.com/photos/emp-0214.jpg"/>
        <s v="https://cdn.singlesignal.com/photos/emp-0215.jpg"/>
        <s v="https://cdn.singlesignal.com/photos/emp-0216.jpg"/>
        <s v="https://cdn.singlesignal.com/photos/emp-0217.jpg"/>
        <s v="https://cdn.singlesignal.com/photos/emp-0218.jpg"/>
        <s v="https://cdn.singlesignal.com/photos/emp-0219.jpg"/>
        <s v="https://cdn.singlesignal.com/photos/emp-0220.jpg"/>
        <s v="https://cdn.singlesignal.com/photos/emp-0221.jpg"/>
        <s v="https://cdn.singlesignal.com/photos/emp-0222.jpg"/>
        <s v="https://cdn.singlesignal.com/photos/emp-0223.jpg"/>
        <s v="https://cdn.singlesignal.com/photos/emp-0224.jpg"/>
        <s v="https://cdn.singlesignal.com/photos/emp-0225.jpg"/>
        <s v="https://cdn.singlesignal.com/photos/emp-0226.jpg"/>
        <s v="https://cdn.singlesignal.com/photos/emp-0227.jpg"/>
        <s v="https://cdn.singlesignal.com/photos/emp-0228.jpg"/>
        <s v="https://cdn.singlesignal.com/photos/emp-0229.jpg"/>
        <s v="https://cdn.singlesignal.com/photos/emp-0230.jpg"/>
        <s v="https://cdn.singlesignal.com/photos/emp-0231.jpg"/>
        <s v="https://cdn.singlesignal.com/photos/emp-0232.jpg"/>
        <s v="https://cdn.singlesignal.com/photos/emp-0233.jpg"/>
        <s v="https://cdn.singlesignal.com/photos/emp-0234.jpg"/>
        <s v="https://cdn.singlesignal.com/photos/emp-0235.jpg"/>
        <s v="https://cdn.singlesignal.com/photos/emp-1001.jpg"/>
        <s v="https://cdn.singlesignal.com/photos/emp-1002.jpg"/>
        <s v="https://cdn.singlesignal.com/photos/emp-1003.jpg"/>
        <s v="https://cdn.singlesignal.com/photos/emp-1004.jpg"/>
        <s v="https://cdn.singlesignal.com/photos/emp-1005.jpg"/>
        <s v="https://cdn.singlesignal.com/photos/emp-1006.jpg"/>
        <s v="https://cdn.singlesignal.com/photos/emp-1007.jpg"/>
      </sharedItems>
    </cacheField>
    <cacheField name="linkedin" numFmtId="0">
      <sharedItems>
        <s v="https://www.linkedin.com/in/linh-ouldcheikh-1"/>
        <s v="https://www.linkedin.com/in/biwott-castillo-2"/>
        <s v="https://www.linkedin.com/in/joyce-shihab-3"/>
        <s v="https://www.linkedin.com/in/grace-rodrigues-4"/>
        <s v="https://www.linkedin.com/in/alfredo-delgado-5"/>
        <s v="https://www.linkedin.com/in/hakim-ahonon-6"/>
        <s v="https://www.linkedin.com/in/rungnapa-mouanda-7"/>
        <s v="https://www.linkedin.com/in/radoslav-oyella-8"/>
        <s v="https://www.linkedin.com/in/bernardo-nurme-9"/>
        <s v="https://www.linkedin.com/in/moa-teuatabo-10"/>
        <s v="https://www.linkedin.com/in/sarah-rodriguez-11"/>
        <s v="https://www.linkedin.com/in/ludmia-selim-12"/>
        <s v="https://www.linkedin.com/in/teresa-sisouvong-13"/>
        <s v="https://www.linkedin.com/in/alan-mema-14"/>
        <s v="https://www.linkedin.com/in/kareena-chu-15"/>
        <s v="https://www.linkedin.com/in/lamia-situmorang-16"/>
        <s v="https://www.linkedin.com/in/isabella-touati-17"/>
        <s v="https://www.linkedin.com/in/zhong-nyein-18"/>
        <s v="https://www.linkedin.com/in/bekzat-belleville-19"/>
        <s v="https://www.linkedin.com/in/sandu-castro-20"/>
        <s v="https://www.linkedin.com/in/raimundo-roach-21"/>
        <s v="https://www.linkedin.com/in/zheng-kok-22"/>
        <s v="https://www.linkedin.com/in/sovann-al-khamis-23"/>
        <s v="https://www.linkedin.com/in/nora-cabort-24"/>
        <s v="https://www.linkedin.com/in/xiomara-dobnik-25"/>
        <s v="https://www.linkedin.com/in/esther-aboukhalil-26"/>
        <s v="https://www.linkedin.com/in/edyta-tosi-27"/>
        <s v="https://www.linkedin.com/in/gloriana-kaighin-28"/>
        <s v="https://www.linkedin.com/in/camila-ivarsson-29"/>
        <s v="https://www.linkedin.com/in/joseph-okoth-30"/>
        <s v="https://www.linkedin.com/in/rosemarie-williams-31"/>
        <s v="https://www.linkedin.com/in/sugiarto-oyite-32"/>
        <s v="https://www.linkedin.com/in/lubasi-cai-33"/>
        <s v="https://www.linkedin.com/in/vicente-kasemets-34"/>
        <s v="https://www.linkedin.com/in/joana-todjinou-35"/>
        <s v="https://www.linkedin.com/in/mihret-bakhit-36"/>
        <s v="https://www.linkedin.com/in/carola-koffi-37"/>
        <s v="https://www.linkedin.com/in/jerome-fardan-38"/>
        <s v="https://www.linkedin.com/in/glenroy-sauvage-39"/>
        <s v="https://www.linkedin.com/in/amina-penh-40"/>
        <s v="https://www.linkedin.com/in/brigitte-paul-41"/>
        <s v="https://www.linkedin.com/in/hana-thaler-42"/>
        <s v="https://www.linkedin.com/in/fabrice-siwale-43"/>
        <s v="https://www.linkedin.com/in/chen-berth-44"/>
        <s v="https://www.linkedin.com/in/naomi-ramkhelawan-45"/>
        <s v="https://www.linkedin.com/in/andrew-saunders-46"/>
        <s v="https://www.linkedin.com/in/mohlomi-embok-47"/>
        <s v="https://www.linkedin.com/in/petra-bae-48"/>
        <s v="https://www.linkedin.com/in/alessio-fernndez-49"/>
        <s v="https://www.linkedin.com/in/charlotte-hage-50"/>
        <s v="https://www.linkedin.com/in/dafina-paul-51"/>
        <s v="https://www.linkedin.com/in/vijay-rossouw-52"/>
        <s v="https://www.linkedin.com/in/britt-thabit-53"/>
        <s v="https://www.linkedin.com/in/nafissatou-tan-54"/>
        <s v="https://www.linkedin.com/in/paulette-krenn-55"/>
        <s v="https://www.linkedin.com/in/emma-castro-56"/>
        <s v="https://www.linkedin.com/in/bun-al-johani-57"/>
        <s v="https://www.linkedin.com/in/ines-zembe-58"/>
        <s v="https://www.linkedin.com/in/yohan-constancia-59"/>
        <s v="https://www.linkedin.com/in/hripsime-ntibarikure-60"/>
        <s v="https://www.linkedin.com/in/hlamyint-chan-61"/>
        <s v="https://www.linkedin.com/in/gaurav-mendez-62"/>
        <s v="https://www.linkedin.com/in/tono-turner-63"/>
        <s v="https://www.linkedin.com/in/clara-theophile-64"/>
        <s v="https://www.linkedin.com/in/bagila-mucavel-65"/>
        <s v="https://www.linkedin.com/in/ottavio-naito-66"/>
        <s v="https://www.linkedin.com/in/jules-haamaluba-67"/>
        <s v="https://www.linkedin.com/in/alda-ghanem-68"/>
        <s v="https://www.linkedin.com/in/janice-bukovsk-69"/>
        <s v="https://www.linkedin.com/in/mapaseka-nhaca-70"/>
        <s v="https://www.linkedin.com/in/anush-walczak-71"/>
        <s v="https://www.linkedin.com/in/mari-salazar-72"/>
        <s v="https://www.linkedin.com/in/thierry-guei-73"/>
        <s v="https://www.linkedin.com/in/ghanim-romero-74"/>
        <s v="https://www.linkedin.com/in/alexandrina-mohyeldin-75"/>
        <s v="https://www.linkedin.com/in/rashid-torres-76"/>
        <s v="https://www.linkedin.com/in/aziza-seru-77"/>
        <s v="https://www.linkedin.com/in/itumeleng-lecheminant-78"/>
        <s v="https://www.linkedin.com/in/mathieu-edness-79"/>
        <s v="https://www.linkedin.com/in/nayef-stevens-80"/>
        <s v="https://www.linkedin.com/in/diego-adam-81"/>
        <s v="https://www.linkedin.com/in/franoise-zorec-82"/>
        <s v="https://www.linkedin.com/in/isabella-mwanje-83"/>
        <s v="https://www.linkedin.com/in/khrystyna-samb-84"/>
        <s v="https://www.linkedin.com/in/michelle-hashim-85"/>
        <s v="https://www.linkedin.com/in/luiza-quiroga-86"/>
        <s v="https://www.linkedin.com/in/rini-huanca-87"/>
        <s v="https://www.linkedin.com/in/krista-zhukovsky-88"/>
        <s v="https://www.linkedin.com/in/mirko-maier-89"/>
        <s v="https://www.linkedin.com/in/simona-lemesurier-90"/>
        <s v="https://www.linkedin.com/in/isabella-mahale-91"/>
        <s v="https://www.linkedin.com/in/ieremia-james-92"/>
        <s v="https://www.linkedin.com/in/freddy-shing-93"/>
        <s v="https://www.linkedin.com/in/jean-johannes-94"/>
        <s v="https://www.linkedin.com/in/sofia-bouzaglo-95"/>
        <s v="https://www.linkedin.com/in/kai-ruiz-96"/>
        <s v="https://www.linkedin.com/in/zaynab-gessesse-97"/>
        <s v="https://www.linkedin.com/in/mary-navarro-98"/>
        <s v="https://www.linkedin.com/in/jasmine-marh-99"/>
        <s v="https://www.linkedin.com/in/elpida-ouali-100"/>
        <s v="https://www.linkedin.com/in/liam-pearson-101"/>
        <s v="https://www.linkedin.com/in/njeri-al-masri-102"/>
        <s v="https://www.linkedin.com/in/zacchaeus-baker-103"/>
        <s v="https://www.linkedin.com/in/zaida-coutanche-104"/>
        <s v="https://www.linkedin.com/in/catalina-henderson-105"/>
        <s v="https://www.linkedin.com/in/hctor-carles-106"/>
        <s v="https://www.linkedin.com/in/gloria-slim-107"/>
        <s v="https://www.linkedin.com/in/francis-spencer-108"/>
        <s v="https://www.linkedin.com/in/nakakande-inh-109"/>
        <s v="https://www.linkedin.com/in/farhan-evangelou-110"/>
        <s v="https://www.linkedin.com/in/sadiya-tamme-111"/>
        <s v="https://www.linkedin.com/in/frederick-bailey-112"/>
        <s v="https://www.linkedin.com/in/marwa-claesson-113"/>
        <s v="https://www.linkedin.com/in/gonzalo-marini-114"/>
        <s v="https://www.linkedin.com/in/cho-essoo-115"/>
        <s v="https://www.linkedin.com/in/samuel-lamy-116"/>
        <s v="https://www.linkedin.com/in/tetiana-keo-117"/>
        <s v="https://www.linkedin.com/in/nehemiah-mandili-118"/>
        <s v="https://www.linkedin.com/in/jazmn-cardoso-119"/>
        <s v="https://www.linkedin.com/in/ludovic-jorge-120"/>
        <s v="https://www.linkedin.com/in/xiuxiu-tamagnini-121"/>
        <s v="https://www.linkedin.com/in/rashid-lipman-122"/>
        <s v="https://www.linkedin.com/in/russell-dillenburg-123"/>
        <s v="https://www.linkedin.com/in/judith-zhordania-124"/>
        <s v="https://www.linkedin.com/in/sitiveni-mazamba-125"/>
        <s v="https://www.linkedin.com/in/tiffany-novk-126"/>
        <s v="https://www.linkedin.com/in/dzintars-santos-127"/>
        <s v="https://www.linkedin.com/in/milda-louis-jean-128"/>
        <s v="https://www.linkedin.com/in/manana-pierce-129"/>
        <s v="https://www.linkedin.com/in/arnot-ganerdene-130"/>
        <s v="https://www.linkedin.com/in/linda-thomsen-131"/>
        <s v="https://www.linkedin.com/in/eugeniusz-eladib-132"/>
        <s v="https://www.linkedin.com/in/mateo-thomas-133"/>
        <s v="https://www.linkedin.com/in/eric-vitry-134"/>
        <s v="https://www.linkedin.com/in/myrto-lng-135"/>
        <s v="https://www.linkedin.com/in/elena-woniak-136"/>
        <s v="https://www.linkedin.com/in/magige-zokou-137"/>
        <s v="https://www.linkedin.com/in/valerie-reyes-138"/>
        <s v="https://www.linkedin.com/in/noy-bennett-139"/>
        <s v="https://www.linkedin.com/in/kyaw-kibe-140"/>
        <s v="https://www.linkedin.com/in/susan-bazin-141"/>
        <s v="https://www.linkedin.com/in/danielle-wawrzyniak-142"/>
        <s v="https://www.linkedin.com/in/geetha-al-kathiri-143"/>
        <s v="https://www.linkedin.com/in/joseph-bernoussi-144"/>
        <s v="https://www.linkedin.com/in/ryan-temari-145"/>
        <s v="https://www.linkedin.com/in/richard-msuya-146"/>
        <s v="https://www.linkedin.com/in/norman-harris-147"/>
        <s v="https://www.linkedin.com/in/raudha-hamilton-148"/>
        <s v="https://www.linkedin.com/in/alexander-voveris-149"/>
        <s v="https://www.linkedin.com/in/karen-lome-150"/>
        <s v="https://www.linkedin.com/in/kevin-shine-151"/>
        <s v="https://www.linkedin.com/in/samuel-kasymov-152"/>
        <s v="https://www.linkedin.com/in/clment-greiveldinger-153"/>
        <s v="https://www.linkedin.com/in/lucie-hamissou-154"/>
        <s v="https://www.linkedin.com/in/raymond-redepagi-155"/>
        <s v="https://www.linkedin.com/in/denis-carrasco-156"/>
        <s v="https://www.linkedin.com/in/panyin-ismailov-157"/>
        <s v="https://www.linkedin.com/in/rajesh-kprl-158"/>
        <s v="https://www.linkedin.com/in/natalie-haoda-159"/>
        <s v="https://www.linkedin.com/in/natalya-al-hajj-160"/>
        <s v="https://www.linkedin.com/in/ryong-sung-carr-161"/>
        <s v="https://www.linkedin.com/in/forward-lauridsen-162"/>
        <s v="https://www.linkedin.com/in/barbare-skifte-163"/>
        <s v="https://www.linkedin.com/in/dennis-miranda-164"/>
        <s v="https://www.linkedin.com/in/thng-sklason-165"/>
        <s v="https://www.linkedin.com/in/svetlana-jones-166"/>
        <s v="https://www.linkedin.com/in/izzahinsyirah-farag-167"/>
        <s v="https://www.linkedin.com/in/maria-barrios-168"/>
        <s v="https://www.linkedin.com/in/rose-haldar-169"/>
        <s v="https://www.linkedin.com/in/olivia-danko-170"/>
        <s v="https://www.linkedin.com/in/akwasi-ahmed-171"/>
        <s v="https://www.linkedin.com/in/ssentongo-maina-172"/>
        <s v="https://www.linkedin.com/in/cyprien-yumani-173"/>
        <s v="https://www.linkedin.com/in/hyo-jin-rakotomaharo-174"/>
        <s v="https://www.linkedin.com/in/shushan-gasser-175"/>
        <s v="https://www.linkedin.com/in/aslne-hughes-176"/>
        <s v="https://www.linkedin.com/in/ruqayyah-vidovi-177"/>
        <s v="https://www.linkedin.com/in/kyi-tokaiono-178"/>
        <s v="https://www.linkedin.com/in/zoey-guerrero-179"/>
        <s v="https://www.linkedin.com/in/rongo-darsires-180"/>
        <s v="https://www.linkedin.com/in/lulwa-malan-181"/>
        <s v="https://www.linkedin.com/in/se-mckay-182"/>
        <s v="https://www.linkedin.com/in/jorge-cirino-183"/>
        <s v="https://www.linkedin.com/in/sandra-kme-184"/>
        <s v="https://www.linkedin.com/in/majid-kayastha-185"/>
        <s v="https://www.linkedin.com/in/anastasia-maharaj-186"/>
        <s v="https://www.linkedin.com/in/sebastin-mbele-187"/>
        <s v="https://www.linkedin.com/in/luis-engberg-188"/>
        <s v="https://www.linkedin.com/in/ida-haraldsdttir-189"/>
        <s v="https://www.linkedin.com/in/osman-weekes-190"/>
        <s v="https://www.linkedin.com/in/margaret-uczak-191"/>
        <s v="https://www.linkedin.com/in/eugene-sinanan-192"/>
        <s v="https://www.linkedin.com/in/angle-sengdara-193"/>
        <s v="https://www.linkedin.com/in/sangeeta-thompson-194"/>
        <s v="https://www.linkedin.com/in/gisela-teivitu-195"/>
        <s v="https://www.linkedin.com/in/abdulmalik-taher-196"/>
        <s v="https://www.linkedin.com/in/ernestine-ouldboubacar-197"/>
        <s v="https://www.linkedin.com/in/elias-gondwe-198"/>
        <s v="https://www.linkedin.com/in/isaiah-fazli-199"/>
        <s v="https://www.linkedin.com/in/patrick-clark-200"/>
        <s v="https://www.linkedin.com/in/jonathan-bhm-201"/>
        <s v="https://www.linkedin.com/in/chiwai-proeung-202"/>
        <s v="https://www.linkedin.com/in/margit-derjacques-203"/>
        <s v="https://www.linkedin.com/in/sverrir-deguara-204"/>
        <s v="https://www.linkedin.com/in/raphal-sidib-205"/>
        <s v="https://www.linkedin.com/in/catherine-hag-206"/>
        <s v="https://www.linkedin.com/in/milagros-bakken-207"/>
        <s v="https://www.linkedin.com/in/olivier-george-208"/>
        <s v="https://www.linkedin.com/in/rachel-al-ramadi-209"/>
        <s v="https://www.linkedin.com/in/alejandro-alalawi-210"/>
        <s v="https://www.linkedin.com/in/howard-marku-211"/>
        <s v="https://www.linkedin.com/in/martine-pintr-212"/>
        <s v="https://www.linkedin.com/in/lars-costea-213"/>
        <s v="https://www.linkedin.com/in/adama-purnomo-214"/>
        <s v="https://www.linkedin.com/in/namgaydorji-miranda-215"/>
        <s v="https://www.linkedin.com/in/anani-diabat-216"/>
        <s v="https://www.linkedin.com/in/keiji-figueroa-217"/>
        <s v="https://www.linkedin.com/in/vaiala-khaya-218"/>
        <s v="https://www.linkedin.com/in/rashed-baco-219"/>
        <s v="https://www.linkedin.com/in/gnesis-temirov-220"/>
        <s v="https://www.linkedin.com/in/annamria-refael-221"/>
        <s v="https://www.linkedin.com/in/segametsi-schramm-222"/>
        <s v="https://www.linkedin.com/in/silje-salah-223"/>
        <s v="https://www.linkedin.com/in/simon-morales-224"/>
        <s v="https://www.linkedin.com/in/socheata-subramaniam-225"/>
        <s v="https://www.linkedin.com/in/damian-damayanthi-226"/>
        <s v="https://www.linkedin.com/in/layla-rosario-227"/>
        <s v="https://www.linkedin.com/in/athina-kritchai-228"/>
        <s v="https://www.linkedin.com/in/sofia-algurg-229"/>
        <s v="https://www.linkedin.com/in/jacob-kotenko-230"/>
        <s v="https://www.linkedin.com/in/diane-awono-231"/>
        <s v="https://www.linkedin.com/in/suha-nystad-232"/>
        <s v="https://www.linkedin.com/in/mila-ruwan-233"/>
        <s v="https://www.linkedin.com/in/rachel-samuel-234"/>
        <s v="https://www.linkedin.com/in/hannah-bartlett-235"/>
        <s v="https://www.linkedin.com/in/morgan-lee-236"/>
        <s v="https://www.linkedin.com/in/priya-narayanan-237"/>
        <s v="https://www.linkedin.com/in/jon-martinez-238"/>
        <s v="https://www.linkedin.com/in/erin-hughes-239"/>
        <s v="https://www.linkedin.com/in/sofia-nguyen-240"/>
        <s v="https://www.linkedin.com/in/casey-rowe-241"/>
        <s v="https://www.linkedin.com/in/tanya-lim-24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3. Calculations" cacheId="0" dataCaption="" rowGrandTotals="0" compact="0" compactData="0">
  <location ref="A52:D94" firstHeaderRow="0" firstDataRow="3"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employee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first_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la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preferred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middle_name" compact="0" outline="0" multipleItemSelectionAllowed="1" showAll="0">
      <items>
        <item x="0"/>
        <item x="1"/>
        <item x="2"/>
        <item x="3"/>
        <item x="4"/>
        <item x="5"/>
        <item x="6"/>
        <item x="7"/>
        <item x="8"/>
        <item x="9"/>
        <item t="default"/>
      </items>
    </pivotField>
    <pivotField name="displa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work_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home_email" compact="0" outline="0" multipleItemSelectionAllowed="1" showAll="0">
      <items>
        <item x="0"/>
        <item t="default"/>
      </items>
    </pivotField>
    <pivotField name="work_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work_phone_exten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mobile_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address1" compact="0" outline="0" multipleItemSelectionAllowed="1" showAll="0">
      <items>
        <item x="0"/>
        <item x="1"/>
        <item x="2"/>
        <item x="3"/>
        <item x="4"/>
        <item x="5"/>
        <item x="6"/>
        <item x="7"/>
        <item x="8"/>
        <item x="9"/>
        <item x="10"/>
        <item x="11"/>
        <item x="12"/>
        <item x="13"/>
        <item x="14"/>
        <item x="15"/>
        <item x="16"/>
        <item x="17"/>
        <item t="default"/>
      </items>
    </pivotField>
    <pivotField name="address2" compact="0" outline="0" multipleItemSelectionAllowed="1" showAll="0">
      <items>
        <item x="0"/>
        <item x="1"/>
        <item x="2"/>
        <item x="3"/>
        <item x="4"/>
        <item x="5"/>
        <item x="6"/>
        <item x="7"/>
        <item x="8"/>
        <item x="9"/>
        <item x="10"/>
        <item x="11"/>
        <item t="default"/>
      </items>
    </pivotField>
    <pivotField name="city" compact="0" outline="0" multipleItemSelectionAllowed="1" showAll="0">
      <items>
        <item x="0"/>
        <item x="1"/>
        <item x="2"/>
        <item x="3"/>
        <item x="4"/>
        <item x="5"/>
        <item x="6"/>
        <item x="7"/>
        <item x="8"/>
        <item t="default"/>
      </items>
    </pivotField>
    <pivotField name="state" compact="0" outline="0" multipleItemSelectionAllowed="1" showAll="0">
      <items>
        <item x="0"/>
        <item x="1"/>
        <item x="2"/>
        <item x="3"/>
        <item x="4"/>
        <item x="5"/>
        <item x="6"/>
        <item x="7"/>
        <item t="default"/>
      </items>
    </pivotField>
    <pivotField name="zipcod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t="default"/>
      </items>
    </pivotField>
    <pivotField name="department" axis="axisRow" compact="0" outline="0" multipleItemSelectionAllowed="1" showAll="0" sortType="ascending" defaultSubtotal="0">
      <items>
        <item x="1"/>
        <item x="2"/>
        <item x="0"/>
        <item x="3"/>
      </items>
    </pivotField>
    <pivotField name="division" compact="0" outline="0" multipleItemSelectionAllowed="1" showAll="0">
      <items>
        <item x="0"/>
        <item x="1"/>
        <item x="2"/>
        <item x="3"/>
        <item x="4"/>
        <item x="5"/>
        <item x="6"/>
        <item x="7"/>
        <item t="default"/>
      </items>
    </pivotField>
    <pivotField name="job_title" axis="axisRow" compact="0" outline="0" multipleItemSelectionAllowed="1" showAll="0" sortType="ascending">
      <items>
        <item x="26"/>
        <item x="32"/>
        <item x="37"/>
        <item x="40"/>
        <item x="38"/>
        <item x="22"/>
        <item x="19"/>
        <item x="9"/>
        <item x="0"/>
        <item x="15"/>
        <item x="25"/>
        <item x="27"/>
        <item x="11"/>
        <item x="17"/>
        <item x="13"/>
        <item x="16"/>
        <item x="28"/>
        <item x="10"/>
        <item x="2"/>
        <item x="3"/>
        <item x="24"/>
        <item x="33"/>
        <item x="23"/>
        <item x="29"/>
        <item x="1"/>
        <item x="5"/>
        <item x="14"/>
        <item x="35"/>
        <item x="31"/>
        <item x="30"/>
        <item x="36"/>
        <item x="12"/>
        <item x="7"/>
        <item x="4"/>
        <item x="6"/>
        <item x="20"/>
        <item x="8"/>
        <item x="41"/>
        <item x="18"/>
        <item x="34"/>
        <item x="21"/>
        <item x="39"/>
        <item t="default"/>
      </items>
    </pivotField>
    <pivotField name="location" compact="0" outline="0" multipleItemSelectionAllowed="1" showAll="0">
      <items>
        <item x="0"/>
        <item x="1"/>
        <item x="2"/>
        <item x="3"/>
        <item t="default"/>
      </items>
    </pivotField>
    <pivotField name="hire_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upervis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s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date_of_birth"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gender" compact="0" outline="0" multipleItemSelectionAllowed="1" showAll="0">
      <items>
        <item x="0"/>
        <item x="1"/>
        <item x="2"/>
        <item x="3"/>
        <item t="default"/>
      </items>
    </pivotField>
    <pivotField name="marital_status" compact="0" outline="0" multipleItemSelectionAllowed="1" showAll="0">
      <items>
        <item x="0"/>
        <item x="1"/>
        <item x="2"/>
        <item x="3"/>
        <item t="default"/>
      </items>
    </pivotField>
    <pivotField name="ethnicity" compact="0" outline="0" multipleItemSelectionAllowed="1" showAll="0">
      <items>
        <item x="0"/>
        <item x="1"/>
        <item x="2"/>
        <item x="3"/>
        <item x="4"/>
        <item x="5"/>
        <item t="default"/>
      </items>
    </pivotField>
    <pivotField name="sala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pay_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pay_per" compact="0" outline="0" multipleItemSelectionAllowed="1" showAll="0">
      <items>
        <item x="0"/>
        <item t="default"/>
      </items>
    </pivotField>
    <pivotField name="pay_type" compact="0" outline="0" multipleItemSelectionAllowed="1" showAll="0">
      <items>
        <item x="0"/>
        <item t="default"/>
      </items>
    </pivotField>
    <pivotField name="pay_schedule" compact="0" outline="0" multipleItemSelectionAllowed="1" showAll="0">
      <items>
        <item x="0"/>
        <item x="1"/>
        <item x="2"/>
        <item t="default"/>
      </items>
    </pivotField>
    <pivotField name="photo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linked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s>
  <rowFields>
    <field x="18"/>
    <field x="20"/>
  </rowFields>
  <colFields>
    <field x="-2"/>
  </colFields>
  <dataFields>
    <dataField name="COUNTA of first_name" fld="2" subtotal="count" baseField="0"/>
    <dataField name="AVERAGE of salary" fld="29" subtotal="average" baseField="0"/>
  </dataFields>
</pivotTableDefinition>
</file>

<file path=xl/pivotTables/pivotTable2.xml><?xml version="1.0" encoding="utf-8"?>
<pivotTableDefinition xmlns="http://schemas.openxmlformats.org/spreadsheetml/2006/main" name="3. Calculations 2" cacheId="0" dataCaption="" compact="0" compactData="0">
  <location ref="A97:B102"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employee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fir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la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preferred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middle_name" compact="0" outline="0" multipleItemSelectionAllowed="1" showAll="0">
      <items>
        <item x="0"/>
        <item x="1"/>
        <item x="2"/>
        <item x="3"/>
        <item x="4"/>
        <item x="5"/>
        <item x="6"/>
        <item x="7"/>
        <item x="8"/>
        <item x="9"/>
        <item t="default"/>
      </items>
    </pivotField>
    <pivotField name="displa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work_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home_email" compact="0" outline="0" multipleItemSelectionAllowed="1" showAll="0">
      <items>
        <item x="0"/>
        <item t="default"/>
      </items>
    </pivotField>
    <pivotField name="work_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work_phone_exten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mobile_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address1" compact="0" outline="0" multipleItemSelectionAllowed="1" showAll="0">
      <items>
        <item x="0"/>
        <item x="1"/>
        <item x="2"/>
        <item x="3"/>
        <item x="4"/>
        <item x="5"/>
        <item x="6"/>
        <item x="7"/>
        <item x="8"/>
        <item x="9"/>
        <item x="10"/>
        <item x="11"/>
        <item x="12"/>
        <item x="13"/>
        <item x="14"/>
        <item x="15"/>
        <item x="16"/>
        <item x="17"/>
        <item t="default"/>
      </items>
    </pivotField>
    <pivotField name="address2" compact="0" outline="0" multipleItemSelectionAllowed="1" showAll="0">
      <items>
        <item x="0"/>
        <item x="1"/>
        <item x="2"/>
        <item x="3"/>
        <item x="4"/>
        <item x="5"/>
        <item x="6"/>
        <item x="7"/>
        <item x="8"/>
        <item x="9"/>
        <item x="10"/>
        <item x="11"/>
        <item t="default"/>
      </items>
    </pivotField>
    <pivotField name="city" compact="0" outline="0" multipleItemSelectionAllowed="1" showAll="0">
      <items>
        <item x="0"/>
        <item x="1"/>
        <item x="2"/>
        <item x="3"/>
        <item x="4"/>
        <item x="5"/>
        <item x="6"/>
        <item x="7"/>
        <item x="8"/>
        <item t="default"/>
      </items>
    </pivotField>
    <pivotField name="state" compact="0" outline="0" multipleItemSelectionAllowed="1" showAll="0">
      <items>
        <item x="0"/>
        <item x="1"/>
        <item x="2"/>
        <item x="3"/>
        <item x="4"/>
        <item x="5"/>
        <item x="6"/>
        <item x="7"/>
        <item t="default"/>
      </items>
    </pivotField>
    <pivotField name="zipcode" compact="0" outline="0" multipleItemSelectionAllowed="1" showAll="0">
      <items>
        <item x="0"/>
        <item x="1"/>
        <item x="2"/>
        <item x="3"/>
        <item x="4"/>
        <item x="5"/>
        <item x="6"/>
        <item x="7"/>
        <item x="8"/>
        <item x="9"/>
        <item x="10"/>
        <item x="11"/>
        <item x="12"/>
        <item x="13"/>
        <item x="14"/>
        <item x="15"/>
        <item x="16"/>
        <item t="default"/>
      </items>
    </pivotField>
    <pivotField name="country" compact="0" outline="0" multipleItemSelectionAllowed="1" showAll="0">
      <items>
        <item x="0"/>
        <item x="1"/>
        <item t="default"/>
      </items>
    </pivotField>
    <pivotField name="department" axis="axisRow" compact="0" outline="0" multipleItemSelectionAllowed="1" showAll="0" sortType="ascending">
      <items>
        <item x="1"/>
        <item x="2"/>
        <item x="0"/>
        <item x="3"/>
        <item t="default"/>
      </items>
    </pivotField>
    <pivotField name="division" compact="0" outline="0" multipleItemSelectionAllowed="1" showAll="0">
      <items>
        <item x="0"/>
        <item x="1"/>
        <item x="2"/>
        <item x="3"/>
        <item x="4"/>
        <item x="5"/>
        <item x="6"/>
        <item x="7"/>
        <item t="default"/>
      </items>
    </pivotField>
    <pivotField name="job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tion" compact="0" outline="0" multipleItemSelectionAllowed="1" showAll="0">
      <items>
        <item x="0"/>
        <item x="1"/>
        <item x="2"/>
        <item x="3"/>
        <item t="default"/>
      </items>
    </pivotField>
    <pivotField name="hire_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uperviso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s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date_of_birth"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gender" compact="0" outline="0" multipleItemSelectionAllowed="1" showAll="0">
      <items>
        <item x="0"/>
        <item x="1"/>
        <item x="2"/>
        <item x="3"/>
        <item t="default"/>
      </items>
    </pivotField>
    <pivotField name="marital_status" compact="0" outline="0" multipleItemSelectionAllowed="1" showAll="0">
      <items>
        <item x="0"/>
        <item x="1"/>
        <item x="2"/>
        <item x="3"/>
        <item t="default"/>
      </items>
    </pivotField>
    <pivotField name="ethnicity" compact="0" outline="0" multipleItemSelectionAllowed="1" showAll="0">
      <items>
        <item x="0"/>
        <item x="1"/>
        <item x="2"/>
        <item x="3"/>
        <item x="4"/>
        <item x="5"/>
        <item t="default"/>
      </items>
    </pivotField>
    <pivotField name="sala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pay_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pay_per" compact="0" outline="0" multipleItemSelectionAllowed="1" showAll="0">
      <items>
        <item x="0"/>
        <item t="default"/>
      </items>
    </pivotField>
    <pivotField name="pay_type" compact="0" outline="0" multipleItemSelectionAllowed="1" showAll="0">
      <items>
        <item x="0"/>
        <item t="default"/>
      </items>
    </pivotField>
    <pivotField name="pay_schedule" compact="0" outline="0" multipleItemSelectionAllowed="1" showAll="0">
      <items>
        <item x="0"/>
        <item x="1"/>
        <item x="2"/>
        <item t="default"/>
      </items>
    </pivotField>
    <pivotField name="photo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linked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s>
  <rowFields>
    <field x="18"/>
  </rowFields>
  <dataFields>
    <dataField name="SUM of salary" fld="2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linkedin.com/in/sofia-bouzaglo-95" TargetMode="External"/><Relationship Id="rId194" Type="http://schemas.openxmlformats.org/officeDocument/2006/relationships/hyperlink" Target="https://www.linkedin.com/in/zaynab-gessesse-97" TargetMode="External"/><Relationship Id="rId193" Type="http://schemas.openxmlformats.org/officeDocument/2006/relationships/hyperlink" Target="https://cdn.singlesignal.com/photos/emp-0097.jpg" TargetMode="External"/><Relationship Id="rId192" Type="http://schemas.openxmlformats.org/officeDocument/2006/relationships/hyperlink" Target="https://www.linkedin.com/in/kai-ruiz-96" TargetMode="External"/><Relationship Id="rId191" Type="http://schemas.openxmlformats.org/officeDocument/2006/relationships/hyperlink" Target="https://cdn.singlesignal.com/photos/emp-0096.jpg" TargetMode="External"/><Relationship Id="rId187" Type="http://schemas.openxmlformats.org/officeDocument/2006/relationships/hyperlink" Target="https://cdn.singlesignal.com/photos/emp-0094.jpg" TargetMode="External"/><Relationship Id="rId186" Type="http://schemas.openxmlformats.org/officeDocument/2006/relationships/hyperlink" Target="https://www.linkedin.com/in/freddy-shing-93" TargetMode="External"/><Relationship Id="rId185" Type="http://schemas.openxmlformats.org/officeDocument/2006/relationships/hyperlink" Target="https://cdn.singlesignal.com/photos/emp-0093.jpg" TargetMode="External"/><Relationship Id="rId184" Type="http://schemas.openxmlformats.org/officeDocument/2006/relationships/hyperlink" Target="https://www.linkedin.com/in/ieremia-james-92" TargetMode="External"/><Relationship Id="rId189" Type="http://schemas.openxmlformats.org/officeDocument/2006/relationships/hyperlink" Target="https://cdn.singlesignal.com/photos/emp-0095.jpg" TargetMode="External"/><Relationship Id="rId188" Type="http://schemas.openxmlformats.org/officeDocument/2006/relationships/hyperlink" Target="https://www.linkedin.com/in/jean-johannes-94" TargetMode="External"/><Relationship Id="rId183" Type="http://schemas.openxmlformats.org/officeDocument/2006/relationships/hyperlink" Target="https://cdn.singlesignal.com/photos/emp-0092.jpg" TargetMode="External"/><Relationship Id="rId182" Type="http://schemas.openxmlformats.org/officeDocument/2006/relationships/hyperlink" Target="https://www.linkedin.com/in/isabella-mahale-91" TargetMode="External"/><Relationship Id="rId181" Type="http://schemas.openxmlformats.org/officeDocument/2006/relationships/hyperlink" Target="https://cdn.singlesignal.com/photos/emp-0091.jpg" TargetMode="External"/><Relationship Id="rId180" Type="http://schemas.openxmlformats.org/officeDocument/2006/relationships/hyperlink" Target="https://www.linkedin.com/in/simona-lemesurier-90" TargetMode="External"/><Relationship Id="rId176" Type="http://schemas.openxmlformats.org/officeDocument/2006/relationships/hyperlink" Target="https://www.linkedin.com/in/krista-zhukovsky-88" TargetMode="External"/><Relationship Id="rId297" Type="http://schemas.openxmlformats.org/officeDocument/2006/relationships/hyperlink" Target="https://cdn.singlesignal.com/photos/emp-0149.jpg" TargetMode="External"/><Relationship Id="rId175" Type="http://schemas.openxmlformats.org/officeDocument/2006/relationships/hyperlink" Target="https://cdn.singlesignal.com/photos/emp-0088.jpg" TargetMode="External"/><Relationship Id="rId296" Type="http://schemas.openxmlformats.org/officeDocument/2006/relationships/hyperlink" Target="https://www.linkedin.com/in/raudha-hamilton-148" TargetMode="External"/><Relationship Id="rId174" Type="http://schemas.openxmlformats.org/officeDocument/2006/relationships/hyperlink" Target="https://www.linkedin.com/in/rini-huanca-87" TargetMode="External"/><Relationship Id="rId295" Type="http://schemas.openxmlformats.org/officeDocument/2006/relationships/hyperlink" Target="https://cdn.singlesignal.com/photos/emp-0148.jpg" TargetMode="External"/><Relationship Id="rId173" Type="http://schemas.openxmlformats.org/officeDocument/2006/relationships/hyperlink" Target="https://cdn.singlesignal.com/photos/emp-0087.jpg" TargetMode="External"/><Relationship Id="rId294" Type="http://schemas.openxmlformats.org/officeDocument/2006/relationships/hyperlink" Target="https://www.linkedin.com/in/norman-harris-147" TargetMode="External"/><Relationship Id="rId179" Type="http://schemas.openxmlformats.org/officeDocument/2006/relationships/hyperlink" Target="https://cdn.singlesignal.com/photos/emp-0090.jpg" TargetMode="External"/><Relationship Id="rId178" Type="http://schemas.openxmlformats.org/officeDocument/2006/relationships/hyperlink" Target="https://www.linkedin.com/in/mirko-maier-89" TargetMode="External"/><Relationship Id="rId299" Type="http://schemas.openxmlformats.org/officeDocument/2006/relationships/hyperlink" Target="https://cdn.singlesignal.com/photos/emp-0150.jpg" TargetMode="External"/><Relationship Id="rId177" Type="http://schemas.openxmlformats.org/officeDocument/2006/relationships/hyperlink" Target="https://cdn.singlesignal.com/photos/emp-0089.jpg" TargetMode="External"/><Relationship Id="rId298" Type="http://schemas.openxmlformats.org/officeDocument/2006/relationships/hyperlink" Target="https://www.linkedin.com/in/alexander-voveris-149" TargetMode="External"/><Relationship Id="rId198" Type="http://schemas.openxmlformats.org/officeDocument/2006/relationships/hyperlink" Target="https://www.linkedin.com/in/jasmine-marh-99" TargetMode="External"/><Relationship Id="rId197" Type="http://schemas.openxmlformats.org/officeDocument/2006/relationships/hyperlink" Target="https://cdn.singlesignal.com/photos/emp-0099.jpg" TargetMode="External"/><Relationship Id="rId196" Type="http://schemas.openxmlformats.org/officeDocument/2006/relationships/hyperlink" Target="https://www.linkedin.com/in/mary-navarro-98" TargetMode="External"/><Relationship Id="rId195" Type="http://schemas.openxmlformats.org/officeDocument/2006/relationships/hyperlink" Target="https://cdn.singlesignal.com/photos/emp-0098.jpg" TargetMode="External"/><Relationship Id="rId199" Type="http://schemas.openxmlformats.org/officeDocument/2006/relationships/hyperlink" Target="https://cdn.singlesignal.com/photos/emp-0100.jpg" TargetMode="External"/><Relationship Id="rId150" Type="http://schemas.openxmlformats.org/officeDocument/2006/relationships/hyperlink" Target="https://www.linkedin.com/in/alexandrina-mohyeldin-75" TargetMode="External"/><Relationship Id="rId271" Type="http://schemas.openxmlformats.org/officeDocument/2006/relationships/hyperlink" Target="https://cdn.singlesignal.com/photos/emp-0136.jpg" TargetMode="External"/><Relationship Id="rId392" Type="http://schemas.openxmlformats.org/officeDocument/2006/relationships/hyperlink" Target="https://www.linkedin.com/in/abdulmalik-taher-196" TargetMode="External"/><Relationship Id="rId270" Type="http://schemas.openxmlformats.org/officeDocument/2006/relationships/hyperlink" Target="https://www.linkedin.com/in/myrto-lng-135" TargetMode="External"/><Relationship Id="rId391" Type="http://schemas.openxmlformats.org/officeDocument/2006/relationships/hyperlink" Target="https://cdn.singlesignal.com/photos/emp-0196.jpg" TargetMode="External"/><Relationship Id="rId390" Type="http://schemas.openxmlformats.org/officeDocument/2006/relationships/hyperlink" Target="https://www.linkedin.com/in/gisela-teivitu-195" TargetMode="External"/><Relationship Id="rId1" Type="http://schemas.openxmlformats.org/officeDocument/2006/relationships/hyperlink" Target="https://cdn.singlesignal.com/photos/emp-0001.jpg" TargetMode="External"/><Relationship Id="rId2" Type="http://schemas.openxmlformats.org/officeDocument/2006/relationships/hyperlink" Target="https://www.linkedin.com/in/linh-ouldcheikh-1" TargetMode="External"/><Relationship Id="rId3" Type="http://schemas.openxmlformats.org/officeDocument/2006/relationships/hyperlink" Target="https://cdn.singlesignal.com/photos/emp-0002.jpg" TargetMode="External"/><Relationship Id="rId149" Type="http://schemas.openxmlformats.org/officeDocument/2006/relationships/hyperlink" Target="https://cdn.singlesignal.com/photos/emp-0075.jpg" TargetMode="External"/><Relationship Id="rId4" Type="http://schemas.openxmlformats.org/officeDocument/2006/relationships/hyperlink" Target="https://www.linkedin.com/in/biwott-castillo-2" TargetMode="External"/><Relationship Id="rId148" Type="http://schemas.openxmlformats.org/officeDocument/2006/relationships/hyperlink" Target="https://www.linkedin.com/in/ghanim-romero-74" TargetMode="External"/><Relationship Id="rId269" Type="http://schemas.openxmlformats.org/officeDocument/2006/relationships/hyperlink" Target="https://cdn.singlesignal.com/photos/emp-0135.jpg" TargetMode="External"/><Relationship Id="rId9" Type="http://schemas.openxmlformats.org/officeDocument/2006/relationships/hyperlink" Target="https://cdn.singlesignal.com/photos/emp-0005.jpg" TargetMode="External"/><Relationship Id="rId143" Type="http://schemas.openxmlformats.org/officeDocument/2006/relationships/hyperlink" Target="https://cdn.singlesignal.com/photos/emp-0072.jpg" TargetMode="External"/><Relationship Id="rId264" Type="http://schemas.openxmlformats.org/officeDocument/2006/relationships/hyperlink" Target="https://www.linkedin.com/in/eugeniusz-eladib-132" TargetMode="External"/><Relationship Id="rId385" Type="http://schemas.openxmlformats.org/officeDocument/2006/relationships/hyperlink" Target="https://cdn.singlesignal.com/photos/emp-0193.jpg" TargetMode="External"/><Relationship Id="rId142" Type="http://schemas.openxmlformats.org/officeDocument/2006/relationships/hyperlink" Target="https://www.linkedin.com/in/anush-walczak-71" TargetMode="External"/><Relationship Id="rId263" Type="http://schemas.openxmlformats.org/officeDocument/2006/relationships/hyperlink" Target="https://cdn.singlesignal.com/photos/emp-0132.jpg" TargetMode="External"/><Relationship Id="rId384" Type="http://schemas.openxmlformats.org/officeDocument/2006/relationships/hyperlink" Target="https://www.linkedin.com/in/eugene-sinanan-192" TargetMode="External"/><Relationship Id="rId141" Type="http://schemas.openxmlformats.org/officeDocument/2006/relationships/hyperlink" Target="https://cdn.singlesignal.com/photos/emp-0071.jpg" TargetMode="External"/><Relationship Id="rId262" Type="http://schemas.openxmlformats.org/officeDocument/2006/relationships/hyperlink" Target="https://www.linkedin.com/in/linda-thomsen-131" TargetMode="External"/><Relationship Id="rId383" Type="http://schemas.openxmlformats.org/officeDocument/2006/relationships/hyperlink" Target="https://cdn.singlesignal.com/photos/emp-0192.jpg" TargetMode="External"/><Relationship Id="rId140" Type="http://schemas.openxmlformats.org/officeDocument/2006/relationships/hyperlink" Target="https://www.linkedin.com/in/mapaseka-nhaca-70" TargetMode="External"/><Relationship Id="rId261" Type="http://schemas.openxmlformats.org/officeDocument/2006/relationships/hyperlink" Target="https://cdn.singlesignal.com/photos/emp-0131.jpg" TargetMode="External"/><Relationship Id="rId382" Type="http://schemas.openxmlformats.org/officeDocument/2006/relationships/hyperlink" Target="https://www.linkedin.com/in/margaret-uczak-191" TargetMode="External"/><Relationship Id="rId5" Type="http://schemas.openxmlformats.org/officeDocument/2006/relationships/hyperlink" Target="https://cdn.singlesignal.com/photos/emp-0003.jpg" TargetMode="External"/><Relationship Id="rId147" Type="http://schemas.openxmlformats.org/officeDocument/2006/relationships/hyperlink" Target="https://cdn.singlesignal.com/photos/emp-0074.jpg" TargetMode="External"/><Relationship Id="rId268" Type="http://schemas.openxmlformats.org/officeDocument/2006/relationships/hyperlink" Target="https://www.linkedin.com/in/eric-vitry-134" TargetMode="External"/><Relationship Id="rId389" Type="http://schemas.openxmlformats.org/officeDocument/2006/relationships/hyperlink" Target="https://cdn.singlesignal.com/photos/emp-0195.jpg" TargetMode="External"/><Relationship Id="rId6" Type="http://schemas.openxmlformats.org/officeDocument/2006/relationships/hyperlink" Target="https://www.linkedin.com/in/joyce-shihab-3" TargetMode="External"/><Relationship Id="rId146" Type="http://schemas.openxmlformats.org/officeDocument/2006/relationships/hyperlink" Target="https://www.linkedin.com/in/thierry-guei-73" TargetMode="External"/><Relationship Id="rId267" Type="http://schemas.openxmlformats.org/officeDocument/2006/relationships/hyperlink" Target="https://cdn.singlesignal.com/photos/emp-0134.jpg" TargetMode="External"/><Relationship Id="rId388" Type="http://schemas.openxmlformats.org/officeDocument/2006/relationships/hyperlink" Target="https://www.linkedin.com/in/sangeeta-thompson-194" TargetMode="External"/><Relationship Id="rId7" Type="http://schemas.openxmlformats.org/officeDocument/2006/relationships/hyperlink" Target="https://cdn.singlesignal.com/photos/emp-0004.jpg" TargetMode="External"/><Relationship Id="rId145" Type="http://schemas.openxmlformats.org/officeDocument/2006/relationships/hyperlink" Target="https://cdn.singlesignal.com/photos/emp-0073.jpg" TargetMode="External"/><Relationship Id="rId266" Type="http://schemas.openxmlformats.org/officeDocument/2006/relationships/hyperlink" Target="https://www.linkedin.com/in/mateo-thomas-133" TargetMode="External"/><Relationship Id="rId387" Type="http://schemas.openxmlformats.org/officeDocument/2006/relationships/hyperlink" Target="https://cdn.singlesignal.com/photos/emp-0194.jpg" TargetMode="External"/><Relationship Id="rId8" Type="http://schemas.openxmlformats.org/officeDocument/2006/relationships/hyperlink" Target="https://www.linkedin.com/in/grace-rodrigues-4" TargetMode="External"/><Relationship Id="rId144" Type="http://schemas.openxmlformats.org/officeDocument/2006/relationships/hyperlink" Target="https://www.linkedin.com/in/mari-salazar-72" TargetMode="External"/><Relationship Id="rId265" Type="http://schemas.openxmlformats.org/officeDocument/2006/relationships/hyperlink" Target="https://cdn.singlesignal.com/photos/emp-0133.jpg" TargetMode="External"/><Relationship Id="rId386" Type="http://schemas.openxmlformats.org/officeDocument/2006/relationships/hyperlink" Target="https://www.linkedin.com/in/angle-sengdara-193" TargetMode="External"/><Relationship Id="rId260" Type="http://schemas.openxmlformats.org/officeDocument/2006/relationships/hyperlink" Target="https://www.linkedin.com/in/arnot-ganerdene-130" TargetMode="External"/><Relationship Id="rId381" Type="http://schemas.openxmlformats.org/officeDocument/2006/relationships/hyperlink" Target="https://cdn.singlesignal.com/photos/emp-0191.jpg" TargetMode="External"/><Relationship Id="rId380" Type="http://schemas.openxmlformats.org/officeDocument/2006/relationships/hyperlink" Target="https://www.linkedin.com/in/osman-weekes-190" TargetMode="External"/><Relationship Id="rId139" Type="http://schemas.openxmlformats.org/officeDocument/2006/relationships/hyperlink" Target="https://cdn.singlesignal.com/photos/emp-0070.jpg" TargetMode="External"/><Relationship Id="rId138" Type="http://schemas.openxmlformats.org/officeDocument/2006/relationships/hyperlink" Target="https://www.linkedin.com/in/janice-bukovsk-69" TargetMode="External"/><Relationship Id="rId259" Type="http://schemas.openxmlformats.org/officeDocument/2006/relationships/hyperlink" Target="https://cdn.singlesignal.com/photos/emp-0130.jpg" TargetMode="External"/><Relationship Id="rId137" Type="http://schemas.openxmlformats.org/officeDocument/2006/relationships/hyperlink" Target="https://cdn.singlesignal.com/photos/emp-0069.jpg" TargetMode="External"/><Relationship Id="rId258" Type="http://schemas.openxmlformats.org/officeDocument/2006/relationships/hyperlink" Target="https://www.linkedin.com/in/manana-pierce-129" TargetMode="External"/><Relationship Id="rId379" Type="http://schemas.openxmlformats.org/officeDocument/2006/relationships/hyperlink" Target="https://cdn.singlesignal.com/photos/emp-0190.jpg" TargetMode="External"/><Relationship Id="rId132" Type="http://schemas.openxmlformats.org/officeDocument/2006/relationships/hyperlink" Target="https://www.linkedin.com/in/ottavio-naito-66" TargetMode="External"/><Relationship Id="rId253" Type="http://schemas.openxmlformats.org/officeDocument/2006/relationships/hyperlink" Target="https://cdn.singlesignal.com/photos/emp-0127.jpg" TargetMode="External"/><Relationship Id="rId374" Type="http://schemas.openxmlformats.org/officeDocument/2006/relationships/hyperlink" Target="https://www.linkedin.com/in/sebastin-mbele-187" TargetMode="External"/><Relationship Id="rId131" Type="http://schemas.openxmlformats.org/officeDocument/2006/relationships/hyperlink" Target="https://cdn.singlesignal.com/photos/emp-0066.jpg" TargetMode="External"/><Relationship Id="rId252" Type="http://schemas.openxmlformats.org/officeDocument/2006/relationships/hyperlink" Target="https://www.linkedin.com/in/tiffany-novk-126" TargetMode="External"/><Relationship Id="rId373" Type="http://schemas.openxmlformats.org/officeDocument/2006/relationships/hyperlink" Target="https://cdn.singlesignal.com/photos/emp-0187.jpg" TargetMode="External"/><Relationship Id="rId130" Type="http://schemas.openxmlformats.org/officeDocument/2006/relationships/hyperlink" Target="https://www.linkedin.com/in/bagila-mucavel-65" TargetMode="External"/><Relationship Id="rId251" Type="http://schemas.openxmlformats.org/officeDocument/2006/relationships/hyperlink" Target="https://cdn.singlesignal.com/photos/emp-0126.jpg" TargetMode="External"/><Relationship Id="rId372" Type="http://schemas.openxmlformats.org/officeDocument/2006/relationships/hyperlink" Target="https://www.linkedin.com/in/anastasia-maharaj-186" TargetMode="External"/><Relationship Id="rId250" Type="http://schemas.openxmlformats.org/officeDocument/2006/relationships/hyperlink" Target="https://www.linkedin.com/in/sitiveni-mazamba-125" TargetMode="External"/><Relationship Id="rId371" Type="http://schemas.openxmlformats.org/officeDocument/2006/relationships/hyperlink" Target="https://cdn.singlesignal.com/photos/emp-0186.jpg" TargetMode="External"/><Relationship Id="rId136" Type="http://schemas.openxmlformats.org/officeDocument/2006/relationships/hyperlink" Target="https://www.linkedin.com/in/alda-ghanem-68" TargetMode="External"/><Relationship Id="rId257" Type="http://schemas.openxmlformats.org/officeDocument/2006/relationships/hyperlink" Target="https://cdn.singlesignal.com/photos/emp-0129.jpg" TargetMode="External"/><Relationship Id="rId378" Type="http://schemas.openxmlformats.org/officeDocument/2006/relationships/hyperlink" Target="https://www.linkedin.com/in/ida-haraldsdttir-189" TargetMode="External"/><Relationship Id="rId135" Type="http://schemas.openxmlformats.org/officeDocument/2006/relationships/hyperlink" Target="https://cdn.singlesignal.com/photos/emp-0068.jpg" TargetMode="External"/><Relationship Id="rId256" Type="http://schemas.openxmlformats.org/officeDocument/2006/relationships/hyperlink" Target="https://www.linkedin.com/in/milda-louis-jean-128" TargetMode="External"/><Relationship Id="rId377" Type="http://schemas.openxmlformats.org/officeDocument/2006/relationships/hyperlink" Target="https://cdn.singlesignal.com/photos/emp-0189.jpg" TargetMode="External"/><Relationship Id="rId134" Type="http://schemas.openxmlformats.org/officeDocument/2006/relationships/hyperlink" Target="https://www.linkedin.com/in/jules-haamaluba-67" TargetMode="External"/><Relationship Id="rId255" Type="http://schemas.openxmlformats.org/officeDocument/2006/relationships/hyperlink" Target="https://cdn.singlesignal.com/photos/emp-0128.jpg" TargetMode="External"/><Relationship Id="rId376" Type="http://schemas.openxmlformats.org/officeDocument/2006/relationships/hyperlink" Target="https://www.linkedin.com/in/luis-engberg-188" TargetMode="External"/><Relationship Id="rId133" Type="http://schemas.openxmlformats.org/officeDocument/2006/relationships/hyperlink" Target="https://cdn.singlesignal.com/photos/emp-0067.jpg" TargetMode="External"/><Relationship Id="rId254" Type="http://schemas.openxmlformats.org/officeDocument/2006/relationships/hyperlink" Target="https://www.linkedin.com/in/dzintars-santos-127" TargetMode="External"/><Relationship Id="rId375" Type="http://schemas.openxmlformats.org/officeDocument/2006/relationships/hyperlink" Target="https://cdn.singlesignal.com/photos/emp-0188.jpg" TargetMode="External"/><Relationship Id="rId172" Type="http://schemas.openxmlformats.org/officeDocument/2006/relationships/hyperlink" Target="https://www.linkedin.com/in/luiza-quiroga-86" TargetMode="External"/><Relationship Id="rId293" Type="http://schemas.openxmlformats.org/officeDocument/2006/relationships/hyperlink" Target="https://cdn.singlesignal.com/photos/emp-0147.jpg" TargetMode="External"/><Relationship Id="rId171" Type="http://schemas.openxmlformats.org/officeDocument/2006/relationships/hyperlink" Target="https://cdn.singlesignal.com/photos/emp-0086.jpg" TargetMode="External"/><Relationship Id="rId292" Type="http://schemas.openxmlformats.org/officeDocument/2006/relationships/hyperlink" Target="https://www.linkedin.com/in/richard-msuya-146" TargetMode="External"/><Relationship Id="rId170" Type="http://schemas.openxmlformats.org/officeDocument/2006/relationships/hyperlink" Target="https://www.linkedin.com/in/michelle-hashim-85" TargetMode="External"/><Relationship Id="rId291" Type="http://schemas.openxmlformats.org/officeDocument/2006/relationships/hyperlink" Target="https://cdn.singlesignal.com/photos/emp-0146.jpg" TargetMode="External"/><Relationship Id="rId290" Type="http://schemas.openxmlformats.org/officeDocument/2006/relationships/hyperlink" Target="https://www.linkedin.com/in/ryan-temari-145" TargetMode="External"/><Relationship Id="rId165" Type="http://schemas.openxmlformats.org/officeDocument/2006/relationships/hyperlink" Target="https://cdn.singlesignal.com/photos/emp-0083.jpg" TargetMode="External"/><Relationship Id="rId286" Type="http://schemas.openxmlformats.org/officeDocument/2006/relationships/hyperlink" Target="https://www.linkedin.com/in/geetha-al-kathiri-143" TargetMode="External"/><Relationship Id="rId164" Type="http://schemas.openxmlformats.org/officeDocument/2006/relationships/hyperlink" Target="https://www.linkedin.com/in/franoise-zorec-82" TargetMode="External"/><Relationship Id="rId285" Type="http://schemas.openxmlformats.org/officeDocument/2006/relationships/hyperlink" Target="https://cdn.singlesignal.com/photos/emp-0143.jpg" TargetMode="External"/><Relationship Id="rId163" Type="http://schemas.openxmlformats.org/officeDocument/2006/relationships/hyperlink" Target="https://cdn.singlesignal.com/photos/emp-0082.jpg" TargetMode="External"/><Relationship Id="rId284" Type="http://schemas.openxmlformats.org/officeDocument/2006/relationships/hyperlink" Target="https://www.linkedin.com/in/danielle-wawrzyniak-142" TargetMode="External"/><Relationship Id="rId162" Type="http://schemas.openxmlformats.org/officeDocument/2006/relationships/hyperlink" Target="https://www.linkedin.com/in/diego-adam-81" TargetMode="External"/><Relationship Id="rId283" Type="http://schemas.openxmlformats.org/officeDocument/2006/relationships/hyperlink" Target="https://cdn.singlesignal.com/photos/emp-0142.jpg" TargetMode="External"/><Relationship Id="rId169" Type="http://schemas.openxmlformats.org/officeDocument/2006/relationships/hyperlink" Target="https://cdn.singlesignal.com/photos/emp-0085.jpg" TargetMode="External"/><Relationship Id="rId168" Type="http://schemas.openxmlformats.org/officeDocument/2006/relationships/hyperlink" Target="https://www.linkedin.com/in/khrystyna-samb-84" TargetMode="External"/><Relationship Id="rId289" Type="http://schemas.openxmlformats.org/officeDocument/2006/relationships/hyperlink" Target="https://cdn.singlesignal.com/photos/emp-0145.jpg" TargetMode="External"/><Relationship Id="rId167" Type="http://schemas.openxmlformats.org/officeDocument/2006/relationships/hyperlink" Target="https://cdn.singlesignal.com/photos/emp-0084.jpg" TargetMode="External"/><Relationship Id="rId288" Type="http://schemas.openxmlformats.org/officeDocument/2006/relationships/hyperlink" Target="https://www.linkedin.com/in/joseph-bernoussi-144" TargetMode="External"/><Relationship Id="rId166" Type="http://schemas.openxmlformats.org/officeDocument/2006/relationships/hyperlink" Target="https://www.linkedin.com/in/isabella-mwanje-83" TargetMode="External"/><Relationship Id="rId287" Type="http://schemas.openxmlformats.org/officeDocument/2006/relationships/hyperlink" Target="https://cdn.singlesignal.com/photos/emp-0144.jpg" TargetMode="External"/><Relationship Id="rId161" Type="http://schemas.openxmlformats.org/officeDocument/2006/relationships/hyperlink" Target="https://cdn.singlesignal.com/photos/emp-0081.jpg" TargetMode="External"/><Relationship Id="rId282" Type="http://schemas.openxmlformats.org/officeDocument/2006/relationships/hyperlink" Target="https://www.linkedin.com/in/susan-bazin-141" TargetMode="External"/><Relationship Id="rId160" Type="http://schemas.openxmlformats.org/officeDocument/2006/relationships/hyperlink" Target="https://www.linkedin.com/in/nayef-stevens-80" TargetMode="External"/><Relationship Id="rId281" Type="http://schemas.openxmlformats.org/officeDocument/2006/relationships/hyperlink" Target="https://cdn.singlesignal.com/photos/emp-0141.jpg" TargetMode="External"/><Relationship Id="rId280" Type="http://schemas.openxmlformats.org/officeDocument/2006/relationships/hyperlink" Target="https://www.linkedin.com/in/kyaw-kibe-140" TargetMode="External"/><Relationship Id="rId159" Type="http://schemas.openxmlformats.org/officeDocument/2006/relationships/hyperlink" Target="https://cdn.singlesignal.com/photos/emp-0080.jpg" TargetMode="External"/><Relationship Id="rId154" Type="http://schemas.openxmlformats.org/officeDocument/2006/relationships/hyperlink" Target="https://www.linkedin.com/in/aziza-seru-77" TargetMode="External"/><Relationship Id="rId275" Type="http://schemas.openxmlformats.org/officeDocument/2006/relationships/hyperlink" Target="https://cdn.singlesignal.com/photos/emp-0138.jpg" TargetMode="External"/><Relationship Id="rId396" Type="http://schemas.openxmlformats.org/officeDocument/2006/relationships/hyperlink" Target="https://www.linkedin.com/in/elias-gondwe-198" TargetMode="External"/><Relationship Id="rId153" Type="http://schemas.openxmlformats.org/officeDocument/2006/relationships/hyperlink" Target="https://cdn.singlesignal.com/photos/emp-0077.jpg" TargetMode="External"/><Relationship Id="rId274" Type="http://schemas.openxmlformats.org/officeDocument/2006/relationships/hyperlink" Target="https://www.linkedin.com/in/magige-zokou-137" TargetMode="External"/><Relationship Id="rId395" Type="http://schemas.openxmlformats.org/officeDocument/2006/relationships/hyperlink" Target="https://cdn.singlesignal.com/photos/emp-0198.jpg" TargetMode="External"/><Relationship Id="rId152" Type="http://schemas.openxmlformats.org/officeDocument/2006/relationships/hyperlink" Target="https://www.linkedin.com/in/rashid-torres-76" TargetMode="External"/><Relationship Id="rId273" Type="http://schemas.openxmlformats.org/officeDocument/2006/relationships/hyperlink" Target="https://cdn.singlesignal.com/photos/emp-0137.jpg" TargetMode="External"/><Relationship Id="rId394" Type="http://schemas.openxmlformats.org/officeDocument/2006/relationships/hyperlink" Target="https://www.linkedin.com/in/ernestine-ouldboubacar-197" TargetMode="External"/><Relationship Id="rId151" Type="http://schemas.openxmlformats.org/officeDocument/2006/relationships/hyperlink" Target="https://cdn.singlesignal.com/photos/emp-0076.jpg" TargetMode="External"/><Relationship Id="rId272" Type="http://schemas.openxmlformats.org/officeDocument/2006/relationships/hyperlink" Target="https://www.linkedin.com/in/elena-woniak-136" TargetMode="External"/><Relationship Id="rId393" Type="http://schemas.openxmlformats.org/officeDocument/2006/relationships/hyperlink" Target="https://cdn.singlesignal.com/photos/emp-0197.jpg" TargetMode="External"/><Relationship Id="rId158" Type="http://schemas.openxmlformats.org/officeDocument/2006/relationships/hyperlink" Target="https://www.linkedin.com/in/mathieu-edness-79" TargetMode="External"/><Relationship Id="rId279" Type="http://schemas.openxmlformats.org/officeDocument/2006/relationships/hyperlink" Target="https://cdn.singlesignal.com/photos/emp-0140.jpg" TargetMode="External"/><Relationship Id="rId157" Type="http://schemas.openxmlformats.org/officeDocument/2006/relationships/hyperlink" Target="https://cdn.singlesignal.com/photos/emp-0079.jpg" TargetMode="External"/><Relationship Id="rId278" Type="http://schemas.openxmlformats.org/officeDocument/2006/relationships/hyperlink" Target="https://www.linkedin.com/in/noy-bennett-139" TargetMode="External"/><Relationship Id="rId399" Type="http://schemas.openxmlformats.org/officeDocument/2006/relationships/hyperlink" Target="https://cdn.singlesignal.com/photos/emp-0200.jpg" TargetMode="External"/><Relationship Id="rId156" Type="http://schemas.openxmlformats.org/officeDocument/2006/relationships/hyperlink" Target="https://www.linkedin.com/in/itumeleng-lecheminant-78" TargetMode="External"/><Relationship Id="rId277" Type="http://schemas.openxmlformats.org/officeDocument/2006/relationships/hyperlink" Target="https://cdn.singlesignal.com/photos/emp-0139.jpg" TargetMode="External"/><Relationship Id="rId398" Type="http://schemas.openxmlformats.org/officeDocument/2006/relationships/hyperlink" Target="https://www.linkedin.com/in/isaiah-fazli-199" TargetMode="External"/><Relationship Id="rId155" Type="http://schemas.openxmlformats.org/officeDocument/2006/relationships/hyperlink" Target="https://cdn.singlesignal.com/photos/emp-0078.jpg" TargetMode="External"/><Relationship Id="rId276" Type="http://schemas.openxmlformats.org/officeDocument/2006/relationships/hyperlink" Target="https://www.linkedin.com/in/valerie-reyes-138" TargetMode="External"/><Relationship Id="rId397" Type="http://schemas.openxmlformats.org/officeDocument/2006/relationships/hyperlink" Target="https://cdn.singlesignal.com/photos/emp-0199.jpg" TargetMode="External"/><Relationship Id="rId40" Type="http://schemas.openxmlformats.org/officeDocument/2006/relationships/hyperlink" Target="https://www.linkedin.com/in/sandu-castro-20" TargetMode="External"/><Relationship Id="rId42" Type="http://schemas.openxmlformats.org/officeDocument/2006/relationships/hyperlink" Target="https://www.linkedin.com/in/raimundo-roach-21" TargetMode="External"/><Relationship Id="rId41" Type="http://schemas.openxmlformats.org/officeDocument/2006/relationships/hyperlink" Target="https://cdn.singlesignal.com/photos/emp-0021.jpg" TargetMode="External"/><Relationship Id="rId44" Type="http://schemas.openxmlformats.org/officeDocument/2006/relationships/hyperlink" Target="https://www.linkedin.com/in/zheng-kok-22" TargetMode="External"/><Relationship Id="rId43" Type="http://schemas.openxmlformats.org/officeDocument/2006/relationships/hyperlink" Target="https://cdn.singlesignal.com/photos/emp-0022.jpg" TargetMode="External"/><Relationship Id="rId46" Type="http://schemas.openxmlformats.org/officeDocument/2006/relationships/hyperlink" Target="https://www.linkedin.com/in/sovann-al-khamis-23" TargetMode="External"/><Relationship Id="rId45" Type="http://schemas.openxmlformats.org/officeDocument/2006/relationships/hyperlink" Target="https://cdn.singlesignal.com/photos/emp-0023.jpg" TargetMode="External"/><Relationship Id="rId48" Type="http://schemas.openxmlformats.org/officeDocument/2006/relationships/hyperlink" Target="https://www.linkedin.com/in/nora-cabort-24" TargetMode="External"/><Relationship Id="rId47" Type="http://schemas.openxmlformats.org/officeDocument/2006/relationships/hyperlink" Target="https://cdn.singlesignal.com/photos/emp-0024.jpg" TargetMode="External"/><Relationship Id="rId49" Type="http://schemas.openxmlformats.org/officeDocument/2006/relationships/hyperlink" Target="https://cdn.singlesignal.com/photos/emp-0025.jpg" TargetMode="External"/><Relationship Id="rId31" Type="http://schemas.openxmlformats.org/officeDocument/2006/relationships/hyperlink" Target="https://cdn.singlesignal.com/photos/emp-0016.jpg" TargetMode="External"/><Relationship Id="rId30" Type="http://schemas.openxmlformats.org/officeDocument/2006/relationships/hyperlink" Target="https://www.linkedin.com/in/kareena-chu-15" TargetMode="External"/><Relationship Id="rId33" Type="http://schemas.openxmlformats.org/officeDocument/2006/relationships/hyperlink" Target="https://cdn.singlesignal.com/photos/emp-0017.jpg" TargetMode="External"/><Relationship Id="rId32" Type="http://schemas.openxmlformats.org/officeDocument/2006/relationships/hyperlink" Target="https://www.linkedin.com/in/lamia-situmorang-16" TargetMode="External"/><Relationship Id="rId35" Type="http://schemas.openxmlformats.org/officeDocument/2006/relationships/hyperlink" Target="https://cdn.singlesignal.com/photos/emp-0018.jpg" TargetMode="External"/><Relationship Id="rId34" Type="http://schemas.openxmlformats.org/officeDocument/2006/relationships/hyperlink" Target="https://www.linkedin.com/in/isabella-touati-17" TargetMode="External"/><Relationship Id="rId37" Type="http://schemas.openxmlformats.org/officeDocument/2006/relationships/hyperlink" Target="https://cdn.singlesignal.com/photos/emp-0019.jpg" TargetMode="External"/><Relationship Id="rId36" Type="http://schemas.openxmlformats.org/officeDocument/2006/relationships/hyperlink" Target="https://www.linkedin.com/in/zhong-nyein-18" TargetMode="External"/><Relationship Id="rId39" Type="http://schemas.openxmlformats.org/officeDocument/2006/relationships/hyperlink" Target="https://cdn.singlesignal.com/photos/emp-0020.jpg" TargetMode="External"/><Relationship Id="rId38" Type="http://schemas.openxmlformats.org/officeDocument/2006/relationships/hyperlink" Target="https://www.linkedin.com/in/bekzat-belleville-19" TargetMode="External"/><Relationship Id="rId20" Type="http://schemas.openxmlformats.org/officeDocument/2006/relationships/hyperlink" Target="https://www.linkedin.com/in/moa-teuatabo-10" TargetMode="External"/><Relationship Id="rId22" Type="http://schemas.openxmlformats.org/officeDocument/2006/relationships/hyperlink" Target="https://www.linkedin.com/in/sarah-rodriguez-11" TargetMode="External"/><Relationship Id="rId21" Type="http://schemas.openxmlformats.org/officeDocument/2006/relationships/hyperlink" Target="https://cdn.singlesignal.com/photos/emp-0011.jpg" TargetMode="External"/><Relationship Id="rId24" Type="http://schemas.openxmlformats.org/officeDocument/2006/relationships/hyperlink" Target="https://www.linkedin.com/in/ludmia-selim-12" TargetMode="External"/><Relationship Id="rId23" Type="http://schemas.openxmlformats.org/officeDocument/2006/relationships/hyperlink" Target="https://cdn.singlesignal.com/photos/emp-0012.jpg" TargetMode="External"/><Relationship Id="rId409" Type="http://schemas.openxmlformats.org/officeDocument/2006/relationships/hyperlink" Target="https://cdn.singlesignal.com/photos/emp-0205.jpg" TargetMode="External"/><Relationship Id="rId404" Type="http://schemas.openxmlformats.org/officeDocument/2006/relationships/hyperlink" Target="https://www.linkedin.com/in/chiwai-proeung-202" TargetMode="External"/><Relationship Id="rId403" Type="http://schemas.openxmlformats.org/officeDocument/2006/relationships/hyperlink" Target="https://cdn.singlesignal.com/photos/emp-0202.jpg" TargetMode="External"/><Relationship Id="rId402" Type="http://schemas.openxmlformats.org/officeDocument/2006/relationships/hyperlink" Target="https://www.linkedin.com/in/jonathan-bhm-201" TargetMode="External"/><Relationship Id="rId401" Type="http://schemas.openxmlformats.org/officeDocument/2006/relationships/hyperlink" Target="https://cdn.singlesignal.com/photos/emp-0201.jpg" TargetMode="External"/><Relationship Id="rId408" Type="http://schemas.openxmlformats.org/officeDocument/2006/relationships/hyperlink" Target="https://www.linkedin.com/in/sverrir-deguara-204" TargetMode="External"/><Relationship Id="rId407" Type="http://schemas.openxmlformats.org/officeDocument/2006/relationships/hyperlink" Target="https://cdn.singlesignal.com/photos/emp-0204.jpg" TargetMode="External"/><Relationship Id="rId406" Type="http://schemas.openxmlformats.org/officeDocument/2006/relationships/hyperlink" Target="https://www.linkedin.com/in/margit-derjacques-203" TargetMode="External"/><Relationship Id="rId405" Type="http://schemas.openxmlformats.org/officeDocument/2006/relationships/hyperlink" Target="https://cdn.singlesignal.com/photos/emp-0203.jpg" TargetMode="External"/><Relationship Id="rId26" Type="http://schemas.openxmlformats.org/officeDocument/2006/relationships/hyperlink" Target="https://www.linkedin.com/in/teresa-sisouvong-13" TargetMode="External"/><Relationship Id="rId25" Type="http://schemas.openxmlformats.org/officeDocument/2006/relationships/hyperlink" Target="https://cdn.singlesignal.com/photos/emp-0013.jpg" TargetMode="External"/><Relationship Id="rId28" Type="http://schemas.openxmlformats.org/officeDocument/2006/relationships/hyperlink" Target="https://www.linkedin.com/in/alan-mema-14" TargetMode="External"/><Relationship Id="rId27" Type="http://schemas.openxmlformats.org/officeDocument/2006/relationships/hyperlink" Target="https://cdn.singlesignal.com/photos/emp-0014.jpg" TargetMode="External"/><Relationship Id="rId400" Type="http://schemas.openxmlformats.org/officeDocument/2006/relationships/hyperlink" Target="https://www.linkedin.com/in/patrick-clark-200" TargetMode="External"/><Relationship Id="rId29" Type="http://schemas.openxmlformats.org/officeDocument/2006/relationships/hyperlink" Target="https://cdn.singlesignal.com/photos/emp-0015.jpg" TargetMode="External"/><Relationship Id="rId11" Type="http://schemas.openxmlformats.org/officeDocument/2006/relationships/hyperlink" Target="https://cdn.singlesignal.com/photos/emp-0006.jpg" TargetMode="External"/><Relationship Id="rId10" Type="http://schemas.openxmlformats.org/officeDocument/2006/relationships/hyperlink" Target="https://www.linkedin.com/in/alfredo-delgado-5" TargetMode="External"/><Relationship Id="rId13" Type="http://schemas.openxmlformats.org/officeDocument/2006/relationships/hyperlink" Target="https://cdn.singlesignal.com/photos/emp-0007.jpg" TargetMode="External"/><Relationship Id="rId12" Type="http://schemas.openxmlformats.org/officeDocument/2006/relationships/hyperlink" Target="https://www.linkedin.com/in/hakim-ahonon-6" TargetMode="External"/><Relationship Id="rId15" Type="http://schemas.openxmlformats.org/officeDocument/2006/relationships/hyperlink" Target="https://cdn.singlesignal.com/photos/emp-0008.jpg" TargetMode="External"/><Relationship Id="rId14" Type="http://schemas.openxmlformats.org/officeDocument/2006/relationships/hyperlink" Target="https://www.linkedin.com/in/rungnapa-mouanda-7" TargetMode="External"/><Relationship Id="rId17" Type="http://schemas.openxmlformats.org/officeDocument/2006/relationships/hyperlink" Target="https://cdn.singlesignal.com/photos/emp-0009.jpg" TargetMode="External"/><Relationship Id="rId16" Type="http://schemas.openxmlformats.org/officeDocument/2006/relationships/hyperlink" Target="https://www.linkedin.com/in/radoslav-oyella-8" TargetMode="External"/><Relationship Id="rId19" Type="http://schemas.openxmlformats.org/officeDocument/2006/relationships/hyperlink" Target="https://cdn.singlesignal.com/photos/emp-0010.jpg" TargetMode="External"/><Relationship Id="rId18" Type="http://schemas.openxmlformats.org/officeDocument/2006/relationships/hyperlink" Target="https://www.linkedin.com/in/bernardo-nurme-9" TargetMode="External"/><Relationship Id="rId84" Type="http://schemas.openxmlformats.org/officeDocument/2006/relationships/hyperlink" Target="https://www.linkedin.com/in/hana-thaler-42" TargetMode="External"/><Relationship Id="rId83" Type="http://schemas.openxmlformats.org/officeDocument/2006/relationships/hyperlink" Target="https://cdn.singlesignal.com/photos/emp-0042.jpg" TargetMode="External"/><Relationship Id="rId86" Type="http://schemas.openxmlformats.org/officeDocument/2006/relationships/hyperlink" Target="https://www.linkedin.com/in/fabrice-siwale-43" TargetMode="External"/><Relationship Id="rId85" Type="http://schemas.openxmlformats.org/officeDocument/2006/relationships/hyperlink" Target="https://cdn.singlesignal.com/photos/emp-0043.jpg" TargetMode="External"/><Relationship Id="rId88" Type="http://schemas.openxmlformats.org/officeDocument/2006/relationships/hyperlink" Target="https://www.linkedin.com/in/chen-berth-44" TargetMode="External"/><Relationship Id="rId87" Type="http://schemas.openxmlformats.org/officeDocument/2006/relationships/hyperlink" Target="https://cdn.singlesignal.com/photos/emp-0044.jpg" TargetMode="External"/><Relationship Id="rId89" Type="http://schemas.openxmlformats.org/officeDocument/2006/relationships/hyperlink" Target="https://cdn.singlesignal.com/photos/emp-0045.jpg" TargetMode="External"/><Relationship Id="rId80" Type="http://schemas.openxmlformats.org/officeDocument/2006/relationships/hyperlink" Target="https://www.linkedin.com/in/amina-penh-40" TargetMode="External"/><Relationship Id="rId82" Type="http://schemas.openxmlformats.org/officeDocument/2006/relationships/hyperlink" Target="https://www.linkedin.com/in/brigitte-paul-41" TargetMode="External"/><Relationship Id="rId81" Type="http://schemas.openxmlformats.org/officeDocument/2006/relationships/hyperlink" Target="https://cdn.singlesignal.com/photos/emp-0041.jpg" TargetMode="External"/><Relationship Id="rId73" Type="http://schemas.openxmlformats.org/officeDocument/2006/relationships/hyperlink" Target="https://cdn.singlesignal.com/photos/emp-0037.jpg" TargetMode="External"/><Relationship Id="rId72" Type="http://schemas.openxmlformats.org/officeDocument/2006/relationships/hyperlink" Target="https://www.linkedin.com/in/mihret-bakhit-36" TargetMode="External"/><Relationship Id="rId75" Type="http://schemas.openxmlformats.org/officeDocument/2006/relationships/hyperlink" Target="https://cdn.singlesignal.com/photos/emp-0038.jpg" TargetMode="External"/><Relationship Id="rId74" Type="http://schemas.openxmlformats.org/officeDocument/2006/relationships/hyperlink" Target="https://www.linkedin.com/in/carola-koffi-37" TargetMode="External"/><Relationship Id="rId77" Type="http://schemas.openxmlformats.org/officeDocument/2006/relationships/hyperlink" Target="https://cdn.singlesignal.com/photos/emp-0039.jpg" TargetMode="External"/><Relationship Id="rId76" Type="http://schemas.openxmlformats.org/officeDocument/2006/relationships/hyperlink" Target="https://www.linkedin.com/in/jerome-fardan-38" TargetMode="External"/><Relationship Id="rId79" Type="http://schemas.openxmlformats.org/officeDocument/2006/relationships/hyperlink" Target="https://cdn.singlesignal.com/photos/emp-0040.jpg" TargetMode="External"/><Relationship Id="rId78" Type="http://schemas.openxmlformats.org/officeDocument/2006/relationships/hyperlink" Target="https://www.linkedin.com/in/glenroy-sauvage-39" TargetMode="External"/><Relationship Id="rId71" Type="http://schemas.openxmlformats.org/officeDocument/2006/relationships/hyperlink" Target="https://cdn.singlesignal.com/photos/emp-0036.jpg" TargetMode="External"/><Relationship Id="rId70" Type="http://schemas.openxmlformats.org/officeDocument/2006/relationships/hyperlink" Target="https://www.linkedin.com/in/joana-todjinou-35" TargetMode="External"/><Relationship Id="rId62" Type="http://schemas.openxmlformats.org/officeDocument/2006/relationships/hyperlink" Target="https://www.linkedin.com/in/rosemarie-williams-31" TargetMode="External"/><Relationship Id="rId61" Type="http://schemas.openxmlformats.org/officeDocument/2006/relationships/hyperlink" Target="https://cdn.singlesignal.com/photos/emp-0031.jpg" TargetMode="External"/><Relationship Id="rId64" Type="http://schemas.openxmlformats.org/officeDocument/2006/relationships/hyperlink" Target="https://www.linkedin.com/in/sugiarto-oyite-32" TargetMode="External"/><Relationship Id="rId63" Type="http://schemas.openxmlformats.org/officeDocument/2006/relationships/hyperlink" Target="https://cdn.singlesignal.com/photos/emp-0032.jpg" TargetMode="External"/><Relationship Id="rId66" Type="http://schemas.openxmlformats.org/officeDocument/2006/relationships/hyperlink" Target="https://www.linkedin.com/in/lubasi-cai-33" TargetMode="External"/><Relationship Id="rId65" Type="http://schemas.openxmlformats.org/officeDocument/2006/relationships/hyperlink" Target="https://cdn.singlesignal.com/photos/emp-0033.jpg" TargetMode="External"/><Relationship Id="rId68" Type="http://schemas.openxmlformats.org/officeDocument/2006/relationships/hyperlink" Target="https://www.linkedin.com/in/vicente-kasemets-34" TargetMode="External"/><Relationship Id="rId67" Type="http://schemas.openxmlformats.org/officeDocument/2006/relationships/hyperlink" Target="https://cdn.singlesignal.com/photos/emp-0034.jpg" TargetMode="External"/><Relationship Id="rId60" Type="http://schemas.openxmlformats.org/officeDocument/2006/relationships/hyperlink" Target="https://www.linkedin.com/in/joseph-okoth-30" TargetMode="External"/><Relationship Id="rId69" Type="http://schemas.openxmlformats.org/officeDocument/2006/relationships/hyperlink" Target="https://cdn.singlesignal.com/photos/emp-0035.jpg" TargetMode="External"/><Relationship Id="rId51" Type="http://schemas.openxmlformats.org/officeDocument/2006/relationships/hyperlink" Target="https://cdn.singlesignal.com/photos/emp-0026.jpg" TargetMode="External"/><Relationship Id="rId50" Type="http://schemas.openxmlformats.org/officeDocument/2006/relationships/hyperlink" Target="https://www.linkedin.com/in/xiomara-dobnik-25" TargetMode="External"/><Relationship Id="rId53" Type="http://schemas.openxmlformats.org/officeDocument/2006/relationships/hyperlink" Target="https://cdn.singlesignal.com/photos/emp-0027.jpg" TargetMode="External"/><Relationship Id="rId52" Type="http://schemas.openxmlformats.org/officeDocument/2006/relationships/hyperlink" Target="https://www.linkedin.com/in/esther-aboukhalil-26" TargetMode="External"/><Relationship Id="rId55" Type="http://schemas.openxmlformats.org/officeDocument/2006/relationships/hyperlink" Target="https://cdn.singlesignal.com/photos/emp-0028.jpg" TargetMode="External"/><Relationship Id="rId54" Type="http://schemas.openxmlformats.org/officeDocument/2006/relationships/hyperlink" Target="https://www.linkedin.com/in/edyta-tosi-27" TargetMode="External"/><Relationship Id="rId57" Type="http://schemas.openxmlformats.org/officeDocument/2006/relationships/hyperlink" Target="https://cdn.singlesignal.com/photos/emp-0029.jpg" TargetMode="External"/><Relationship Id="rId56" Type="http://schemas.openxmlformats.org/officeDocument/2006/relationships/hyperlink" Target="https://www.linkedin.com/in/gloriana-kaighin-28" TargetMode="External"/><Relationship Id="rId59" Type="http://schemas.openxmlformats.org/officeDocument/2006/relationships/hyperlink" Target="https://cdn.singlesignal.com/photos/emp-0030.jpg" TargetMode="External"/><Relationship Id="rId58" Type="http://schemas.openxmlformats.org/officeDocument/2006/relationships/hyperlink" Target="https://www.linkedin.com/in/camila-ivarsson-29" TargetMode="External"/><Relationship Id="rId107" Type="http://schemas.openxmlformats.org/officeDocument/2006/relationships/hyperlink" Target="https://cdn.singlesignal.com/photos/emp-0054.jpg" TargetMode="External"/><Relationship Id="rId228" Type="http://schemas.openxmlformats.org/officeDocument/2006/relationships/hyperlink" Target="https://www.linkedin.com/in/gonzalo-marini-114" TargetMode="External"/><Relationship Id="rId349" Type="http://schemas.openxmlformats.org/officeDocument/2006/relationships/hyperlink" Target="https://cdn.singlesignal.com/photos/emp-0175.jpg" TargetMode="External"/><Relationship Id="rId106" Type="http://schemas.openxmlformats.org/officeDocument/2006/relationships/hyperlink" Target="https://www.linkedin.com/in/britt-thabit-53" TargetMode="External"/><Relationship Id="rId227" Type="http://schemas.openxmlformats.org/officeDocument/2006/relationships/hyperlink" Target="https://cdn.singlesignal.com/photos/emp-0114.jpg" TargetMode="External"/><Relationship Id="rId348" Type="http://schemas.openxmlformats.org/officeDocument/2006/relationships/hyperlink" Target="https://www.linkedin.com/in/hyo-jin-rakotomaharo-174" TargetMode="External"/><Relationship Id="rId469" Type="http://schemas.openxmlformats.org/officeDocument/2006/relationships/hyperlink" Target="https://cdn.singlesignal.com/photos/emp-0235.jpg" TargetMode="External"/><Relationship Id="rId105" Type="http://schemas.openxmlformats.org/officeDocument/2006/relationships/hyperlink" Target="https://cdn.singlesignal.com/photos/emp-0053.jpg" TargetMode="External"/><Relationship Id="rId226" Type="http://schemas.openxmlformats.org/officeDocument/2006/relationships/hyperlink" Target="https://www.linkedin.com/in/marwa-claesson-113" TargetMode="External"/><Relationship Id="rId347" Type="http://schemas.openxmlformats.org/officeDocument/2006/relationships/hyperlink" Target="https://cdn.singlesignal.com/photos/emp-0174.jpg" TargetMode="External"/><Relationship Id="rId468" Type="http://schemas.openxmlformats.org/officeDocument/2006/relationships/hyperlink" Target="https://www.linkedin.com/in/rachel-samuel-234" TargetMode="External"/><Relationship Id="rId104" Type="http://schemas.openxmlformats.org/officeDocument/2006/relationships/hyperlink" Target="https://www.linkedin.com/in/vijay-rossouw-52" TargetMode="External"/><Relationship Id="rId225" Type="http://schemas.openxmlformats.org/officeDocument/2006/relationships/hyperlink" Target="https://cdn.singlesignal.com/photos/emp-0113.jpg" TargetMode="External"/><Relationship Id="rId346" Type="http://schemas.openxmlformats.org/officeDocument/2006/relationships/hyperlink" Target="https://www.linkedin.com/in/cyprien-yumani-173" TargetMode="External"/><Relationship Id="rId467" Type="http://schemas.openxmlformats.org/officeDocument/2006/relationships/hyperlink" Target="https://cdn.singlesignal.com/photos/emp-0234.jpg" TargetMode="External"/><Relationship Id="rId109" Type="http://schemas.openxmlformats.org/officeDocument/2006/relationships/hyperlink" Target="https://cdn.singlesignal.com/photos/emp-0055.jpg" TargetMode="External"/><Relationship Id="rId108" Type="http://schemas.openxmlformats.org/officeDocument/2006/relationships/hyperlink" Target="https://www.linkedin.com/in/nafissatou-tan-54" TargetMode="External"/><Relationship Id="rId229" Type="http://schemas.openxmlformats.org/officeDocument/2006/relationships/hyperlink" Target="https://cdn.singlesignal.com/photos/emp-0115.jpg" TargetMode="External"/><Relationship Id="rId220" Type="http://schemas.openxmlformats.org/officeDocument/2006/relationships/hyperlink" Target="https://www.linkedin.com/in/farhan-evangelou-110" TargetMode="External"/><Relationship Id="rId341" Type="http://schemas.openxmlformats.org/officeDocument/2006/relationships/hyperlink" Target="https://cdn.singlesignal.com/photos/emp-0171.jpg" TargetMode="External"/><Relationship Id="rId462" Type="http://schemas.openxmlformats.org/officeDocument/2006/relationships/hyperlink" Target="https://www.linkedin.com/in/diane-awono-231" TargetMode="External"/><Relationship Id="rId340" Type="http://schemas.openxmlformats.org/officeDocument/2006/relationships/hyperlink" Target="https://www.linkedin.com/in/olivia-danko-170" TargetMode="External"/><Relationship Id="rId461" Type="http://schemas.openxmlformats.org/officeDocument/2006/relationships/hyperlink" Target="https://cdn.singlesignal.com/photos/emp-0231.jpg" TargetMode="External"/><Relationship Id="rId460" Type="http://schemas.openxmlformats.org/officeDocument/2006/relationships/hyperlink" Target="https://www.linkedin.com/in/jacob-kotenko-230" TargetMode="External"/><Relationship Id="rId103" Type="http://schemas.openxmlformats.org/officeDocument/2006/relationships/hyperlink" Target="https://cdn.singlesignal.com/photos/emp-0052.jpg" TargetMode="External"/><Relationship Id="rId224" Type="http://schemas.openxmlformats.org/officeDocument/2006/relationships/hyperlink" Target="https://www.linkedin.com/in/frederick-bailey-112" TargetMode="External"/><Relationship Id="rId345" Type="http://schemas.openxmlformats.org/officeDocument/2006/relationships/hyperlink" Target="https://cdn.singlesignal.com/photos/emp-0173.jpg" TargetMode="External"/><Relationship Id="rId466" Type="http://schemas.openxmlformats.org/officeDocument/2006/relationships/hyperlink" Target="https://www.linkedin.com/in/mila-ruwan-233" TargetMode="External"/><Relationship Id="rId102" Type="http://schemas.openxmlformats.org/officeDocument/2006/relationships/hyperlink" Target="https://www.linkedin.com/in/dafina-paul-51" TargetMode="External"/><Relationship Id="rId223" Type="http://schemas.openxmlformats.org/officeDocument/2006/relationships/hyperlink" Target="https://cdn.singlesignal.com/photos/emp-0112.jpg" TargetMode="External"/><Relationship Id="rId344" Type="http://schemas.openxmlformats.org/officeDocument/2006/relationships/hyperlink" Target="https://www.linkedin.com/in/ssentongo-maina-172" TargetMode="External"/><Relationship Id="rId465" Type="http://schemas.openxmlformats.org/officeDocument/2006/relationships/hyperlink" Target="https://cdn.singlesignal.com/photos/emp-0233.jpg" TargetMode="External"/><Relationship Id="rId101" Type="http://schemas.openxmlformats.org/officeDocument/2006/relationships/hyperlink" Target="https://cdn.singlesignal.com/photos/emp-0051.jpg" TargetMode="External"/><Relationship Id="rId222" Type="http://schemas.openxmlformats.org/officeDocument/2006/relationships/hyperlink" Target="https://www.linkedin.com/in/sadiya-tamme-111" TargetMode="External"/><Relationship Id="rId343" Type="http://schemas.openxmlformats.org/officeDocument/2006/relationships/hyperlink" Target="https://cdn.singlesignal.com/photos/emp-0172.jpg" TargetMode="External"/><Relationship Id="rId464" Type="http://schemas.openxmlformats.org/officeDocument/2006/relationships/hyperlink" Target="https://www.linkedin.com/in/suha-nystad-232" TargetMode="External"/><Relationship Id="rId100" Type="http://schemas.openxmlformats.org/officeDocument/2006/relationships/hyperlink" Target="https://www.linkedin.com/in/charlotte-hage-50" TargetMode="External"/><Relationship Id="rId221" Type="http://schemas.openxmlformats.org/officeDocument/2006/relationships/hyperlink" Target="https://cdn.singlesignal.com/photos/emp-0111.jpg" TargetMode="External"/><Relationship Id="rId342" Type="http://schemas.openxmlformats.org/officeDocument/2006/relationships/hyperlink" Target="https://www.linkedin.com/in/akwasi-ahmed-171" TargetMode="External"/><Relationship Id="rId463" Type="http://schemas.openxmlformats.org/officeDocument/2006/relationships/hyperlink" Target="https://cdn.singlesignal.com/photos/emp-0232.jpg" TargetMode="External"/><Relationship Id="rId217" Type="http://schemas.openxmlformats.org/officeDocument/2006/relationships/hyperlink" Target="https://cdn.singlesignal.com/photos/emp-0109.jpg" TargetMode="External"/><Relationship Id="rId338" Type="http://schemas.openxmlformats.org/officeDocument/2006/relationships/hyperlink" Target="https://www.linkedin.com/in/rose-haldar-169" TargetMode="External"/><Relationship Id="rId459" Type="http://schemas.openxmlformats.org/officeDocument/2006/relationships/hyperlink" Target="https://cdn.singlesignal.com/photos/emp-0230.jpg" TargetMode="External"/><Relationship Id="rId216" Type="http://schemas.openxmlformats.org/officeDocument/2006/relationships/hyperlink" Target="https://www.linkedin.com/in/francis-spencer-108" TargetMode="External"/><Relationship Id="rId337" Type="http://schemas.openxmlformats.org/officeDocument/2006/relationships/hyperlink" Target="https://cdn.singlesignal.com/photos/emp-0169.jpg" TargetMode="External"/><Relationship Id="rId458" Type="http://schemas.openxmlformats.org/officeDocument/2006/relationships/hyperlink" Target="https://www.linkedin.com/in/sofia-algurg-229" TargetMode="External"/><Relationship Id="rId215" Type="http://schemas.openxmlformats.org/officeDocument/2006/relationships/hyperlink" Target="https://cdn.singlesignal.com/photos/emp-0108.jpg" TargetMode="External"/><Relationship Id="rId336" Type="http://schemas.openxmlformats.org/officeDocument/2006/relationships/hyperlink" Target="https://www.linkedin.com/in/maria-barrios-168" TargetMode="External"/><Relationship Id="rId457" Type="http://schemas.openxmlformats.org/officeDocument/2006/relationships/hyperlink" Target="https://cdn.singlesignal.com/photos/emp-0229.jpg" TargetMode="External"/><Relationship Id="rId214" Type="http://schemas.openxmlformats.org/officeDocument/2006/relationships/hyperlink" Target="https://www.linkedin.com/in/gloria-slim-107" TargetMode="External"/><Relationship Id="rId335" Type="http://schemas.openxmlformats.org/officeDocument/2006/relationships/hyperlink" Target="https://cdn.singlesignal.com/photos/emp-0168.jpg" TargetMode="External"/><Relationship Id="rId456" Type="http://schemas.openxmlformats.org/officeDocument/2006/relationships/hyperlink" Target="https://www.linkedin.com/in/athina-kritchai-228" TargetMode="External"/><Relationship Id="rId219" Type="http://schemas.openxmlformats.org/officeDocument/2006/relationships/hyperlink" Target="https://cdn.singlesignal.com/photos/emp-0110.jpg" TargetMode="External"/><Relationship Id="rId218" Type="http://schemas.openxmlformats.org/officeDocument/2006/relationships/hyperlink" Target="https://www.linkedin.com/in/nakakande-inh-109" TargetMode="External"/><Relationship Id="rId339" Type="http://schemas.openxmlformats.org/officeDocument/2006/relationships/hyperlink" Target="https://cdn.singlesignal.com/photos/emp-0170.jpg" TargetMode="External"/><Relationship Id="rId330" Type="http://schemas.openxmlformats.org/officeDocument/2006/relationships/hyperlink" Target="https://www.linkedin.com/in/thng-sklason-165" TargetMode="External"/><Relationship Id="rId451" Type="http://schemas.openxmlformats.org/officeDocument/2006/relationships/hyperlink" Target="https://cdn.singlesignal.com/photos/emp-0226.jpg" TargetMode="External"/><Relationship Id="rId450" Type="http://schemas.openxmlformats.org/officeDocument/2006/relationships/hyperlink" Target="https://www.linkedin.com/in/socheata-subramaniam-225" TargetMode="External"/><Relationship Id="rId213" Type="http://schemas.openxmlformats.org/officeDocument/2006/relationships/hyperlink" Target="https://cdn.singlesignal.com/photos/emp-0107.jpg" TargetMode="External"/><Relationship Id="rId334" Type="http://schemas.openxmlformats.org/officeDocument/2006/relationships/hyperlink" Target="https://www.linkedin.com/in/izzahinsyirah-farag-167" TargetMode="External"/><Relationship Id="rId455" Type="http://schemas.openxmlformats.org/officeDocument/2006/relationships/hyperlink" Target="https://cdn.singlesignal.com/photos/emp-0228.jpg" TargetMode="External"/><Relationship Id="rId212" Type="http://schemas.openxmlformats.org/officeDocument/2006/relationships/hyperlink" Target="https://www.linkedin.com/in/hctor-carles-106" TargetMode="External"/><Relationship Id="rId333" Type="http://schemas.openxmlformats.org/officeDocument/2006/relationships/hyperlink" Target="https://cdn.singlesignal.com/photos/emp-0167.jpg" TargetMode="External"/><Relationship Id="rId454" Type="http://schemas.openxmlformats.org/officeDocument/2006/relationships/hyperlink" Target="https://www.linkedin.com/in/layla-rosario-227" TargetMode="External"/><Relationship Id="rId211" Type="http://schemas.openxmlformats.org/officeDocument/2006/relationships/hyperlink" Target="https://cdn.singlesignal.com/photos/emp-0106.jpg" TargetMode="External"/><Relationship Id="rId332" Type="http://schemas.openxmlformats.org/officeDocument/2006/relationships/hyperlink" Target="https://www.linkedin.com/in/svetlana-jones-166" TargetMode="External"/><Relationship Id="rId453" Type="http://schemas.openxmlformats.org/officeDocument/2006/relationships/hyperlink" Target="https://cdn.singlesignal.com/photos/emp-0227.jpg" TargetMode="External"/><Relationship Id="rId210" Type="http://schemas.openxmlformats.org/officeDocument/2006/relationships/hyperlink" Target="https://www.linkedin.com/in/catalina-henderson-105" TargetMode="External"/><Relationship Id="rId331" Type="http://schemas.openxmlformats.org/officeDocument/2006/relationships/hyperlink" Target="https://cdn.singlesignal.com/photos/emp-0166.jpg" TargetMode="External"/><Relationship Id="rId452" Type="http://schemas.openxmlformats.org/officeDocument/2006/relationships/hyperlink" Target="https://www.linkedin.com/in/damian-damayanthi-226" TargetMode="External"/><Relationship Id="rId370" Type="http://schemas.openxmlformats.org/officeDocument/2006/relationships/hyperlink" Target="https://www.linkedin.com/in/majid-kayastha-185" TargetMode="External"/><Relationship Id="rId129" Type="http://schemas.openxmlformats.org/officeDocument/2006/relationships/hyperlink" Target="https://cdn.singlesignal.com/photos/emp-0065.jpg" TargetMode="External"/><Relationship Id="rId128" Type="http://schemas.openxmlformats.org/officeDocument/2006/relationships/hyperlink" Target="https://www.linkedin.com/in/clara-theophile-64" TargetMode="External"/><Relationship Id="rId249" Type="http://schemas.openxmlformats.org/officeDocument/2006/relationships/hyperlink" Target="https://cdn.singlesignal.com/photos/emp-0125.jpg" TargetMode="External"/><Relationship Id="rId127" Type="http://schemas.openxmlformats.org/officeDocument/2006/relationships/hyperlink" Target="https://cdn.singlesignal.com/photos/emp-0064.jpg" TargetMode="External"/><Relationship Id="rId248" Type="http://schemas.openxmlformats.org/officeDocument/2006/relationships/hyperlink" Target="https://www.linkedin.com/in/judith-zhordania-124" TargetMode="External"/><Relationship Id="rId369" Type="http://schemas.openxmlformats.org/officeDocument/2006/relationships/hyperlink" Target="https://cdn.singlesignal.com/photos/emp-0185.jpg" TargetMode="External"/><Relationship Id="rId126" Type="http://schemas.openxmlformats.org/officeDocument/2006/relationships/hyperlink" Target="https://www.linkedin.com/in/tono-turner-63" TargetMode="External"/><Relationship Id="rId247" Type="http://schemas.openxmlformats.org/officeDocument/2006/relationships/hyperlink" Target="https://cdn.singlesignal.com/photos/emp-0124.jpg" TargetMode="External"/><Relationship Id="rId368" Type="http://schemas.openxmlformats.org/officeDocument/2006/relationships/hyperlink" Target="https://www.linkedin.com/in/sandra-kme-184" TargetMode="External"/><Relationship Id="rId121" Type="http://schemas.openxmlformats.org/officeDocument/2006/relationships/hyperlink" Target="https://cdn.singlesignal.com/photos/emp-0061.jpg" TargetMode="External"/><Relationship Id="rId242" Type="http://schemas.openxmlformats.org/officeDocument/2006/relationships/hyperlink" Target="https://www.linkedin.com/in/xiuxiu-tamagnini-121" TargetMode="External"/><Relationship Id="rId363" Type="http://schemas.openxmlformats.org/officeDocument/2006/relationships/hyperlink" Target="https://cdn.singlesignal.com/photos/emp-0182.jpg" TargetMode="External"/><Relationship Id="rId484" Type="http://schemas.openxmlformats.org/officeDocument/2006/relationships/hyperlink" Target="https://www.linkedin.com/in/tanya-lim-242" TargetMode="External"/><Relationship Id="rId120" Type="http://schemas.openxmlformats.org/officeDocument/2006/relationships/hyperlink" Target="https://www.linkedin.com/in/hripsime-ntibarikure-60" TargetMode="External"/><Relationship Id="rId241" Type="http://schemas.openxmlformats.org/officeDocument/2006/relationships/hyperlink" Target="https://cdn.singlesignal.com/photos/emp-0121.jpg" TargetMode="External"/><Relationship Id="rId362" Type="http://schemas.openxmlformats.org/officeDocument/2006/relationships/hyperlink" Target="https://www.linkedin.com/in/lulwa-malan-181" TargetMode="External"/><Relationship Id="rId483" Type="http://schemas.openxmlformats.org/officeDocument/2006/relationships/hyperlink" Target="https://cdn.singlesignal.com/photos/emp-1007.jpg" TargetMode="External"/><Relationship Id="rId240" Type="http://schemas.openxmlformats.org/officeDocument/2006/relationships/hyperlink" Target="https://www.linkedin.com/in/ludovic-jorge-120" TargetMode="External"/><Relationship Id="rId361" Type="http://schemas.openxmlformats.org/officeDocument/2006/relationships/hyperlink" Target="https://cdn.singlesignal.com/photos/emp-0181.jpg" TargetMode="External"/><Relationship Id="rId482" Type="http://schemas.openxmlformats.org/officeDocument/2006/relationships/hyperlink" Target="https://www.linkedin.com/in/casey-rowe-241" TargetMode="External"/><Relationship Id="rId360" Type="http://schemas.openxmlformats.org/officeDocument/2006/relationships/hyperlink" Target="https://www.linkedin.com/in/rongo-darsires-180" TargetMode="External"/><Relationship Id="rId481" Type="http://schemas.openxmlformats.org/officeDocument/2006/relationships/hyperlink" Target="https://cdn.singlesignal.com/photos/emp-1006.jpg" TargetMode="External"/><Relationship Id="rId125" Type="http://schemas.openxmlformats.org/officeDocument/2006/relationships/hyperlink" Target="https://cdn.singlesignal.com/photos/emp-0063.jpg" TargetMode="External"/><Relationship Id="rId246" Type="http://schemas.openxmlformats.org/officeDocument/2006/relationships/hyperlink" Target="https://www.linkedin.com/in/russell-dillenburg-123" TargetMode="External"/><Relationship Id="rId367" Type="http://schemas.openxmlformats.org/officeDocument/2006/relationships/hyperlink" Target="https://cdn.singlesignal.com/photos/emp-0184.jpg" TargetMode="External"/><Relationship Id="rId124" Type="http://schemas.openxmlformats.org/officeDocument/2006/relationships/hyperlink" Target="https://www.linkedin.com/in/gaurav-mendez-62" TargetMode="External"/><Relationship Id="rId245" Type="http://schemas.openxmlformats.org/officeDocument/2006/relationships/hyperlink" Target="https://cdn.singlesignal.com/photos/emp-0123.jpg" TargetMode="External"/><Relationship Id="rId366" Type="http://schemas.openxmlformats.org/officeDocument/2006/relationships/hyperlink" Target="https://www.linkedin.com/in/jorge-cirino-183" TargetMode="External"/><Relationship Id="rId123" Type="http://schemas.openxmlformats.org/officeDocument/2006/relationships/hyperlink" Target="https://cdn.singlesignal.com/photos/emp-0062.jpg" TargetMode="External"/><Relationship Id="rId244" Type="http://schemas.openxmlformats.org/officeDocument/2006/relationships/hyperlink" Target="https://www.linkedin.com/in/rashid-lipman-122" TargetMode="External"/><Relationship Id="rId365" Type="http://schemas.openxmlformats.org/officeDocument/2006/relationships/hyperlink" Target="https://cdn.singlesignal.com/photos/emp-0183.jpg" TargetMode="External"/><Relationship Id="rId122" Type="http://schemas.openxmlformats.org/officeDocument/2006/relationships/hyperlink" Target="https://www.linkedin.com/in/hlamyint-chan-61" TargetMode="External"/><Relationship Id="rId243" Type="http://schemas.openxmlformats.org/officeDocument/2006/relationships/hyperlink" Target="https://cdn.singlesignal.com/photos/emp-0122.jpg" TargetMode="External"/><Relationship Id="rId364" Type="http://schemas.openxmlformats.org/officeDocument/2006/relationships/hyperlink" Target="https://www.linkedin.com/in/se-mckay-182" TargetMode="External"/><Relationship Id="rId485" Type="http://schemas.openxmlformats.org/officeDocument/2006/relationships/drawing" Target="../drawings/drawing5.xml"/><Relationship Id="rId95" Type="http://schemas.openxmlformats.org/officeDocument/2006/relationships/hyperlink" Target="https://cdn.singlesignal.com/photos/emp-0048.jpg" TargetMode="External"/><Relationship Id="rId94" Type="http://schemas.openxmlformats.org/officeDocument/2006/relationships/hyperlink" Target="https://www.linkedin.com/in/mohlomi-embok-47" TargetMode="External"/><Relationship Id="rId97" Type="http://schemas.openxmlformats.org/officeDocument/2006/relationships/hyperlink" Target="https://cdn.singlesignal.com/photos/emp-0049.jpg" TargetMode="External"/><Relationship Id="rId96" Type="http://schemas.openxmlformats.org/officeDocument/2006/relationships/hyperlink" Target="https://www.linkedin.com/in/petra-bae-48" TargetMode="External"/><Relationship Id="rId99" Type="http://schemas.openxmlformats.org/officeDocument/2006/relationships/hyperlink" Target="https://cdn.singlesignal.com/photos/emp-0050.jpg" TargetMode="External"/><Relationship Id="rId480" Type="http://schemas.openxmlformats.org/officeDocument/2006/relationships/hyperlink" Target="https://www.linkedin.com/in/sofia-nguyen-240" TargetMode="External"/><Relationship Id="rId98" Type="http://schemas.openxmlformats.org/officeDocument/2006/relationships/hyperlink" Target="https://www.linkedin.com/in/alessio-fernndez-49" TargetMode="External"/><Relationship Id="rId91" Type="http://schemas.openxmlformats.org/officeDocument/2006/relationships/hyperlink" Target="https://cdn.singlesignal.com/photos/emp-0046.jpg" TargetMode="External"/><Relationship Id="rId90" Type="http://schemas.openxmlformats.org/officeDocument/2006/relationships/hyperlink" Target="https://www.linkedin.com/in/naomi-ramkhelawan-45" TargetMode="External"/><Relationship Id="rId93" Type="http://schemas.openxmlformats.org/officeDocument/2006/relationships/hyperlink" Target="https://cdn.singlesignal.com/photos/emp-0047.jpg" TargetMode="External"/><Relationship Id="rId92" Type="http://schemas.openxmlformats.org/officeDocument/2006/relationships/hyperlink" Target="https://www.linkedin.com/in/andrew-saunders-46" TargetMode="External"/><Relationship Id="rId118" Type="http://schemas.openxmlformats.org/officeDocument/2006/relationships/hyperlink" Target="https://www.linkedin.com/in/yohan-constancia-59" TargetMode="External"/><Relationship Id="rId239" Type="http://schemas.openxmlformats.org/officeDocument/2006/relationships/hyperlink" Target="https://cdn.singlesignal.com/photos/emp-0120.jpg" TargetMode="External"/><Relationship Id="rId117" Type="http://schemas.openxmlformats.org/officeDocument/2006/relationships/hyperlink" Target="https://cdn.singlesignal.com/photos/emp-0059.jpg" TargetMode="External"/><Relationship Id="rId238" Type="http://schemas.openxmlformats.org/officeDocument/2006/relationships/hyperlink" Target="https://www.linkedin.com/in/jazmn-cardoso-119" TargetMode="External"/><Relationship Id="rId359" Type="http://schemas.openxmlformats.org/officeDocument/2006/relationships/hyperlink" Target="https://cdn.singlesignal.com/photos/emp-0180.jpg" TargetMode="External"/><Relationship Id="rId116" Type="http://schemas.openxmlformats.org/officeDocument/2006/relationships/hyperlink" Target="https://www.linkedin.com/in/ines-zembe-58" TargetMode="External"/><Relationship Id="rId237" Type="http://schemas.openxmlformats.org/officeDocument/2006/relationships/hyperlink" Target="https://cdn.singlesignal.com/photos/emp-0119.jpg" TargetMode="External"/><Relationship Id="rId358" Type="http://schemas.openxmlformats.org/officeDocument/2006/relationships/hyperlink" Target="https://www.linkedin.com/in/zoey-guerrero-179" TargetMode="External"/><Relationship Id="rId479" Type="http://schemas.openxmlformats.org/officeDocument/2006/relationships/hyperlink" Target="https://cdn.singlesignal.com/photos/emp-1005.jpg" TargetMode="External"/><Relationship Id="rId115" Type="http://schemas.openxmlformats.org/officeDocument/2006/relationships/hyperlink" Target="https://cdn.singlesignal.com/photos/emp-0058.jpg" TargetMode="External"/><Relationship Id="rId236" Type="http://schemas.openxmlformats.org/officeDocument/2006/relationships/hyperlink" Target="https://www.linkedin.com/in/nehemiah-mandili-118" TargetMode="External"/><Relationship Id="rId357" Type="http://schemas.openxmlformats.org/officeDocument/2006/relationships/hyperlink" Target="https://cdn.singlesignal.com/photos/emp-0179.jpg" TargetMode="External"/><Relationship Id="rId478" Type="http://schemas.openxmlformats.org/officeDocument/2006/relationships/hyperlink" Target="https://www.linkedin.com/in/erin-hughes-239" TargetMode="External"/><Relationship Id="rId119" Type="http://schemas.openxmlformats.org/officeDocument/2006/relationships/hyperlink" Target="https://cdn.singlesignal.com/photos/emp-0060.jpg" TargetMode="External"/><Relationship Id="rId110" Type="http://schemas.openxmlformats.org/officeDocument/2006/relationships/hyperlink" Target="https://www.linkedin.com/in/paulette-krenn-55" TargetMode="External"/><Relationship Id="rId231" Type="http://schemas.openxmlformats.org/officeDocument/2006/relationships/hyperlink" Target="https://cdn.singlesignal.com/photos/emp-0116.jpg" TargetMode="External"/><Relationship Id="rId352" Type="http://schemas.openxmlformats.org/officeDocument/2006/relationships/hyperlink" Target="https://www.linkedin.com/in/aslne-hughes-176" TargetMode="External"/><Relationship Id="rId473" Type="http://schemas.openxmlformats.org/officeDocument/2006/relationships/hyperlink" Target="https://cdn.singlesignal.com/photos/emp-1002.jpg" TargetMode="External"/><Relationship Id="rId230" Type="http://schemas.openxmlformats.org/officeDocument/2006/relationships/hyperlink" Target="https://www.linkedin.com/in/cho-essoo-115" TargetMode="External"/><Relationship Id="rId351" Type="http://schemas.openxmlformats.org/officeDocument/2006/relationships/hyperlink" Target="https://cdn.singlesignal.com/photos/emp-0176.jpg" TargetMode="External"/><Relationship Id="rId472" Type="http://schemas.openxmlformats.org/officeDocument/2006/relationships/hyperlink" Target="https://www.linkedin.com/in/morgan-lee-236" TargetMode="External"/><Relationship Id="rId350" Type="http://schemas.openxmlformats.org/officeDocument/2006/relationships/hyperlink" Target="https://www.linkedin.com/in/shushan-gasser-175" TargetMode="External"/><Relationship Id="rId471" Type="http://schemas.openxmlformats.org/officeDocument/2006/relationships/hyperlink" Target="https://cdn.singlesignal.com/photos/emp-1001.jpg" TargetMode="External"/><Relationship Id="rId470" Type="http://schemas.openxmlformats.org/officeDocument/2006/relationships/hyperlink" Target="https://www.linkedin.com/in/hannah-bartlett-235" TargetMode="External"/><Relationship Id="rId114" Type="http://schemas.openxmlformats.org/officeDocument/2006/relationships/hyperlink" Target="https://www.linkedin.com/in/bun-al-johani-57" TargetMode="External"/><Relationship Id="rId235" Type="http://schemas.openxmlformats.org/officeDocument/2006/relationships/hyperlink" Target="https://cdn.singlesignal.com/photos/emp-0118.jpg" TargetMode="External"/><Relationship Id="rId356" Type="http://schemas.openxmlformats.org/officeDocument/2006/relationships/hyperlink" Target="https://www.linkedin.com/in/kyi-tokaiono-178" TargetMode="External"/><Relationship Id="rId477" Type="http://schemas.openxmlformats.org/officeDocument/2006/relationships/hyperlink" Target="https://cdn.singlesignal.com/photos/emp-1004.jpg" TargetMode="External"/><Relationship Id="rId113" Type="http://schemas.openxmlformats.org/officeDocument/2006/relationships/hyperlink" Target="https://cdn.singlesignal.com/photos/emp-0057.jpg" TargetMode="External"/><Relationship Id="rId234" Type="http://schemas.openxmlformats.org/officeDocument/2006/relationships/hyperlink" Target="https://www.linkedin.com/in/tetiana-keo-117" TargetMode="External"/><Relationship Id="rId355" Type="http://schemas.openxmlformats.org/officeDocument/2006/relationships/hyperlink" Target="https://cdn.singlesignal.com/photos/emp-0178.jpg" TargetMode="External"/><Relationship Id="rId476" Type="http://schemas.openxmlformats.org/officeDocument/2006/relationships/hyperlink" Target="https://www.linkedin.com/in/jon-martinez-238" TargetMode="External"/><Relationship Id="rId112" Type="http://schemas.openxmlformats.org/officeDocument/2006/relationships/hyperlink" Target="https://www.linkedin.com/in/emma-castro-56" TargetMode="External"/><Relationship Id="rId233" Type="http://schemas.openxmlformats.org/officeDocument/2006/relationships/hyperlink" Target="https://cdn.singlesignal.com/photos/emp-0117.jpg" TargetMode="External"/><Relationship Id="rId354" Type="http://schemas.openxmlformats.org/officeDocument/2006/relationships/hyperlink" Target="https://www.linkedin.com/in/ruqayyah-vidovi-177" TargetMode="External"/><Relationship Id="rId475" Type="http://schemas.openxmlformats.org/officeDocument/2006/relationships/hyperlink" Target="https://cdn.singlesignal.com/photos/emp-1003.jpg" TargetMode="External"/><Relationship Id="rId111" Type="http://schemas.openxmlformats.org/officeDocument/2006/relationships/hyperlink" Target="https://cdn.singlesignal.com/photos/emp-0056.jpg" TargetMode="External"/><Relationship Id="rId232" Type="http://schemas.openxmlformats.org/officeDocument/2006/relationships/hyperlink" Target="https://www.linkedin.com/in/samuel-lamy-116" TargetMode="External"/><Relationship Id="rId353" Type="http://schemas.openxmlformats.org/officeDocument/2006/relationships/hyperlink" Target="https://cdn.singlesignal.com/photos/emp-0177.jpg" TargetMode="External"/><Relationship Id="rId474" Type="http://schemas.openxmlformats.org/officeDocument/2006/relationships/hyperlink" Target="https://www.linkedin.com/in/priya-narayanan-237" TargetMode="External"/><Relationship Id="rId305" Type="http://schemas.openxmlformats.org/officeDocument/2006/relationships/hyperlink" Target="https://cdn.singlesignal.com/photos/emp-0153.jpg" TargetMode="External"/><Relationship Id="rId426" Type="http://schemas.openxmlformats.org/officeDocument/2006/relationships/hyperlink" Target="https://www.linkedin.com/in/lars-costea-213" TargetMode="External"/><Relationship Id="rId304" Type="http://schemas.openxmlformats.org/officeDocument/2006/relationships/hyperlink" Target="https://www.linkedin.com/in/samuel-kasymov-152" TargetMode="External"/><Relationship Id="rId425" Type="http://schemas.openxmlformats.org/officeDocument/2006/relationships/hyperlink" Target="https://cdn.singlesignal.com/photos/emp-0213.jpg" TargetMode="External"/><Relationship Id="rId303" Type="http://schemas.openxmlformats.org/officeDocument/2006/relationships/hyperlink" Target="https://cdn.singlesignal.com/photos/emp-0152.jpg" TargetMode="External"/><Relationship Id="rId424" Type="http://schemas.openxmlformats.org/officeDocument/2006/relationships/hyperlink" Target="https://www.linkedin.com/in/martine-pintr-212" TargetMode="External"/><Relationship Id="rId302" Type="http://schemas.openxmlformats.org/officeDocument/2006/relationships/hyperlink" Target="https://www.linkedin.com/in/kevin-shine-151" TargetMode="External"/><Relationship Id="rId423" Type="http://schemas.openxmlformats.org/officeDocument/2006/relationships/hyperlink" Target="https://cdn.singlesignal.com/photos/emp-0212.jpg" TargetMode="External"/><Relationship Id="rId309" Type="http://schemas.openxmlformats.org/officeDocument/2006/relationships/hyperlink" Target="https://cdn.singlesignal.com/photos/emp-0155.jpg" TargetMode="External"/><Relationship Id="rId308" Type="http://schemas.openxmlformats.org/officeDocument/2006/relationships/hyperlink" Target="https://www.linkedin.com/in/lucie-hamissou-154" TargetMode="External"/><Relationship Id="rId429" Type="http://schemas.openxmlformats.org/officeDocument/2006/relationships/hyperlink" Target="https://cdn.singlesignal.com/photos/emp-0215.jpg" TargetMode="External"/><Relationship Id="rId307" Type="http://schemas.openxmlformats.org/officeDocument/2006/relationships/hyperlink" Target="https://cdn.singlesignal.com/photos/emp-0154.jpg" TargetMode="External"/><Relationship Id="rId428" Type="http://schemas.openxmlformats.org/officeDocument/2006/relationships/hyperlink" Target="https://www.linkedin.com/in/adama-purnomo-214" TargetMode="External"/><Relationship Id="rId306" Type="http://schemas.openxmlformats.org/officeDocument/2006/relationships/hyperlink" Target="https://www.linkedin.com/in/clment-greiveldinger-153" TargetMode="External"/><Relationship Id="rId427" Type="http://schemas.openxmlformats.org/officeDocument/2006/relationships/hyperlink" Target="https://cdn.singlesignal.com/photos/emp-0214.jpg" TargetMode="External"/><Relationship Id="rId301" Type="http://schemas.openxmlformats.org/officeDocument/2006/relationships/hyperlink" Target="https://cdn.singlesignal.com/photos/emp-0151.jpg" TargetMode="External"/><Relationship Id="rId422" Type="http://schemas.openxmlformats.org/officeDocument/2006/relationships/hyperlink" Target="https://www.linkedin.com/in/howard-marku-211" TargetMode="External"/><Relationship Id="rId300" Type="http://schemas.openxmlformats.org/officeDocument/2006/relationships/hyperlink" Target="https://www.linkedin.com/in/karen-lome-150" TargetMode="External"/><Relationship Id="rId421" Type="http://schemas.openxmlformats.org/officeDocument/2006/relationships/hyperlink" Target="https://cdn.singlesignal.com/photos/emp-0211.jpg" TargetMode="External"/><Relationship Id="rId420" Type="http://schemas.openxmlformats.org/officeDocument/2006/relationships/hyperlink" Target="https://www.linkedin.com/in/alejandro-alalawi-210" TargetMode="External"/><Relationship Id="rId415" Type="http://schemas.openxmlformats.org/officeDocument/2006/relationships/hyperlink" Target="https://cdn.singlesignal.com/photos/emp-0208.jpg" TargetMode="External"/><Relationship Id="rId414" Type="http://schemas.openxmlformats.org/officeDocument/2006/relationships/hyperlink" Target="https://www.linkedin.com/in/milagros-bakken-207" TargetMode="External"/><Relationship Id="rId413" Type="http://schemas.openxmlformats.org/officeDocument/2006/relationships/hyperlink" Target="https://cdn.singlesignal.com/photos/emp-0207.jpg" TargetMode="External"/><Relationship Id="rId412" Type="http://schemas.openxmlformats.org/officeDocument/2006/relationships/hyperlink" Target="https://www.linkedin.com/in/catherine-hag-206" TargetMode="External"/><Relationship Id="rId419" Type="http://schemas.openxmlformats.org/officeDocument/2006/relationships/hyperlink" Target="https://cdn.singlesignal.com/photos/emp-0210.jpg" TargetMode="External"/><Relationship Id="rId418" Type="http://schemas.openxmlformats.org/officeDocument/2006/relationships/hyperlink" Target="https://www.linkedin.com/in/rachel-al-ramadi-209" TargetMode="External"/><Relationship Id="rId417" Type="http://schemas.openxmlformats.org/officeDocument/2006/relationships/hyperlink" Target="https://cdn.singlesignal.com/photos/emp-0209.jpg" TargetMode="External"/><Relationship Id="rId416" Type="http://schemas.openxmlformats.org/officeDocument/2006/relationships/hyperlink" Target="https://www.linkedin.com/in/olivier-george-208" TargetMode="External"/><Relationship Id="rId411" Type="http://schemas.openxmlformats.org/officeDocument/2006/relationships/hyperlink" Target="https://cdn.singlesignal.com/photos/emp-0206.jpg" TargetMode="External"/><Relationship Id="rId410" Type="http://schemas.openxmlformats.org/officeDocument/2006/relationships/hyperlink" Target="https://www.linkedin.com/in/raphal-sidib-205" TargetMode="External"/><Relationship Id="rId206" Type="http://schemas.openxmlformats.org/officeDocument/2006/relationships/hyperlink" Target="https://www.linkedin.com/in/zacchaeus-baker-103" TargetMode="External"/><Relationship Id="rId327" Type="http://schemas.openxmlformats.org/officeDocument/2006/relationships/hyperlink" Target="https://cdn.singlesignal.com/photos/emp-0164.jpg" TargetMode="External"/><Relationship Id="rId448" Type="http://schemas.openxmlformats.org/officeDocument/2006/relationships/hyperlink" Target="https://www.linkedin.com/in/simon-morales-224" TargetMode="External"/><Relationship Id="rId205" Type="http://schemas.openxmlformats.org/officeDocument/2006/relationships/hyperlink" Target="https://cdn.singlesignal.com/photos/emp-0103.jpg" TargetMode="External"/><Relationship Id="rId326" Type="http://schemas.openxmlformats.org/officeDocument/2006/relationships/hyperlink" Target="https://www.linkedin.com/in/barbare-skifte-163" TargetMode="External"/><Relationship Id="rId447" Type="http://schemas.openxmlformats.org/officeDocument/2006/relationships/hyperlink" Target="https://cdn.singlesignal.com/photos/emp-0224.jpg" TargetMode="External"/><Relationship Id="rId204" Type="http://schemas.openxmlformats.org/officeDocument/2006/relationships/hyperlink" Target="https://www.linkedin.com/in/njeri-al-masri-102" TargetMode="External"/><Relationship Id="rId325" Type="http://schemas.openxmlformats.org/officeDocument/2006/relationships/hyperlink" Target="https://cdn.singlesignal.com/photos/emp-0163.jpg" TargetMode="External"/><Relationship Id="rId446" Type="http://schemas.openxmlformats.org/officeDocument/2006/relationships/hyperlink" Target="https://www.linkedin.com/in/silje-salah-223" TargetMode="External"/><Relationship Id="rId203" Type="http://schemas.openxmlformats.org/officeDocument/2006/relationships/hyperlink" Target="https://cdn.singlesignal.com/photos/emp-0102.jpg" TargetMode="External"/><Relationship Id="rId324" Type="http://schemas.openxmlformats.org/officeDocument/2006/relationships/hyperlink" Target="https://www.linkedin.com/in/forward-lauridsen-162" TargetMode="External"/><Relationship Id="rId445" Type="http://schemas.openxmlformats.org/officeDocument/2006/relationships/hyperlink" Target="https://cdn.singlesignal.com/photos/emp-0223.jpg" TargetMode="External"/><Relationship Id="rId209" Type="http://schemas.openxmlformats.org/officeDocument/2006/relationships/hyperlink" Target="https://cdn.singlesignal.com/photos/emp-0105.jpg" TargetMode="External"/><Relationship Id="rId208" Type="http://schemas.openxmlformats.org/officeDocument/2006/relationships/hyperlink" Target="https://www.linkedin.com/in/zaida-coutanche-104" TargetMode="External"/><Relationship Id="rId329" Type="http://schemas.openxmlformats.org/officeDocument/2006/relationships/hyperlink" Target="https://cdn.singlesignal.com/photos/emp-0165.jpg" TargetMode="External"/><Relationship Id="rId207" Type="http://schemas.openxmlformats.org/officeDocument/2006/relationships/hyperlink" Target="https://cdn.singlesignal.com/photos/emp-0104.jpg" TargetMode="External"/><Relationship Id="rId328" Type="http://schemas.openxmlformats.org/officeDocument/2006/relationships/hyperlink" Target="https://www.linkedin.com/in/dennis-miranda-164" TargetMode="External"/><Relationship Id="rId449" Type="http://schemas.openxmlformats.org/officeDocument/2006/relationships/hyperlink" Target="https://cdn.singlesignal.com/photos/emp-0225.jpg" TargetMode="External"/><Relationship Id="rId440" Type="http://schemas.openxmlformats.org/officeDocument/2006/relationships/hyperlink" Target="https://www.linkedin.com/in/gnesis-temirov-220" TargetMode="External"/><Relationship Id="rId202" Type="http://schemas.openxmlformats.org/officeDocument/2006/relationships/hyperlink" Target="https://www.linkedin.com/in/liam-pearson-101" TargetMode="External"/><Relationship Id="rId323" Type="http://schemas.openxmlformats.org/officeDocument/2006/relationships/hyperlink" Target="https://cdn.singlesignal.com/photos/emp-0162.jpg" TargetMode="External"/><Relationship Id="rId444" Type="http://schemas.openxmlformats.org/officeDocument/2006/relationships/hyperlink" Target="https://www.linkedin.com/in/segametsi-schramm-222" TargetMode="External"/><Relationship Id="rId201" Type="http://schemas.openxmlformats.org/officeDocument/2006/relationships/hyperlink" Target="https://cdn.singlesignal.com/photos/emp-0101.jpg" TargetMode="External"/><Relationship Id="rId322" Type="http://schemas.openxmlformats.org/officeDocument/2006/relationships/hyperlink" Target="https://www.linkedin.com/in/ryong-sung-carr-161" TargetMode="External"/><Relationship Id="rId443" Type="http://schemas.openxmlformats.org/officeDocument/2006/relationships/hyperlink" Target="https://cdn.singlesignal.com/photos/emp-0222.jpg" TargetMode="External"/><Relationship Id="rId200" Type="http://schemas.openxmlformats.org/officeDocument/2006/relationships/hyperlink" Target="https://www.linkedin.com/in/elpida-ouali-100" TargetMode="External"/><Relationship Id="rId321" Type="http://schemas.openxmlformats.org/officeDocument/2006/relationships/hyperlink" Target="https://cdn.singlesignal.com/photos/emp-0161.jpg" TargetMode="External"/><Relationship Id="rId442" Type="http://schemas.openxmlformats.org/officeDocument/2006/relationships/hyperlink" Target="https://www.linkedin.com/in/annamria-refael-221" TargetMode="External"/><Relationship Id="rId320" Type="http://schemas.openxmlformats.org/officeDocument/2006/relationships/hyperlink" Target="https://www.linkedin.com/in/natalya-al-hajj-160" TargetMode="External"/><Relationship Id="rId441" Type="http://schemas.openxmlformats.org/officeDocument/2006/relationships/hyperlink" Target="https://cdn.singlesignal.com/photos/emp-0221.jpg" TargetMode="External"/><Relationship Id="rId316" Type="http://schemas.openxmlformats.org/officeDocument/2006/relationships/hyperlink" Target="https://www.linkedin.com/in/rajesh-kprl-158" TargetMode="External"/><Relationship Id="rId437" Type="http://schemas.openxmlformats.org/officeDocument/2006/relationships/hyperlink" Target="https://cdn.singlesignal.com/photos/emp-0219.jpg" TargetMode="External"/><Relationship Id="rId315" Type="http://schemas.openxmlformats.org/officeDocument/2006/relationships/hyperlink" Target="https://cdn.singlesignal.com/photos/emp-0158.jpg" TargetMode="External"/><Relationship Id="rId436" Type="http://schemas.openxmlformats.org/officeDocument/2006/relationships/hyperlink" Target="https://www.linkedin.com/in/vaiala-khaya-218" TargetMode="External"/><Relationship Id="rId314" Type="http://schemas.openxmlformats.org/officeDocument/2006/relationships/hyperlink" Target="https://www.linkedin.com/in/panyin-ismailov-157" TargetMode="External"/><Relationship Id="rId435" Type="http://schemas.openxmlformats.org/officeDocument/2006/relationships/hyperlink" Target="https://cdn.singlesignal.com/photos/emp-0218.jpg" TargetMode="External"/><Relationship Id="rId313" Type="http://schemas.openxmlformats.org/officeDocument/2006/relationships/hyperlink" Target="https://cdn.singlesignal.com/photos/emp-0157.jpg" TargetMode="External"/><Relationship Id="rId434" Type="http://schemas.openxmlformats.org/officeDocument/2006/relationships/hyperlink" Target="https://www.linkedin.com/in/keiji-figueroa-217" TargetMode="External"/><Relationship Id="rId319" Type="http://schemas.openxmlformats.org/officeDocument/2006/relationships/hyperlink" Target="https://cdn.singlesignal.com/photos/emp-0160.jpg" TargetMode="External"/><Relationship Id="rId318" Type="http://schemas.openxmlformats.org/officeDocument/2006/relationships/hyperlink" Target="https://www.linkedin.com/in/natalie-haoda-159" TargetMode="External"/><Relationship Id="rId439" Type="http://schemas.openxmlformats.org/officeDocument/2006/relationships/hyperlink" Target="https://cdn.singlesignal.com/photos/emp-0220.jpg" TargetMode="External"/><Relationship Id="rId317" Type="http://schemas.openxmlformats.org/officeDocument/2006/relationships/hyperlink" Target="https://cdn.singlesignal.com/photos/emp-0159.jpg" TargetMode="External"/><Relationship Id="rId438" Type="http://schemas.openxmlformats.org/officeDocument/2006/relationships/hyperlink" Target="https://www.linkedin.com/in/rashed-baco-219" TargetMode="External"/><Relationship Id="rId312" Type="http://schemas.openxmlformats.org/officeDocument/2006/relationships/hyperlink" Target="https://www.linkedin.com/in/denis-carrasco-156" TargetMode="External"/><Relationship Id="rId433" Type="http://schemas.openxmlformats.org/officeDocument/2006/relationships/hyperlink" Target="https://cdn.singlesignal.com/photos/emp-0217.jpg" TargetMode="External"/><Relationship Id="rId311" Type="http://schemas.openxmlformats.org/officeDocument/2006/relationships/hyperlink" Target="https://cdn.singlesignal.com/photos/emp-0156.jpg" TargetMode="External"/><Relationship Id="rId432" Type="http://schemas.openxmlformats.org/officeDocument/2006/relationships/hyperlink" Target="https://www.linkedin.com/in/anani-diabat-216" TargetMode="External"/><Relationship Id="rId310" Type="http://schemas.openxmlformats.org/officeDocument/2006/relationships/hyperlink" Target="https://www.linkedin.com/in/raymond-redepagi-155" TargetMode="External"/><Relationship Id="rId431" Type="http://schemas.openxmlformats.org/officeDocument/2006/relationships/hyperlink" Target="https://cdn.singlesignal.com/photos/emp-0216.jpg" TargetMode="External"/><Relationship Id="rId430" Type="http://schemas.openxmlformats.org/officeDocument/2006/relationships/hyperlink" Target="https://www.linkedin.com/in/namgaydorji-miranda-2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2" width="122.88"/>
  </cols>
  <sheetData>
    <row r="1" ht="15.75" customHeight="1">
      <c r="A1" s="1" t="s">
        <v>0</v>
      </c>
      <c r="B1" s="2"/>
    </row>
    <row r="2" ht="15.75" customHeight="1">
      <c r="A2" s="3" t="s">
        <v>1</v>
      </c>
      <c r="B2" s="4" t="s">
        <v>2</v>
      </c>
    </row>
    <row r="3" ht="15.75" customHeight="1"/>
    <row r="4" ht="15.75" customHeight="1">
      <c r="A4" s="5" t="s">
        <v>3</v>
      </c>
      <c r="B4" s="5" t="s">
        <v>4</v>
      </c>
    </row>
    <row r="5" ht="15.75" customHeight="1">
      <c r="A5" s="6" t="s">
        <v>5</v>
      </c>
      <c r="B5" s="6" t="s">
        <v>6</v>
      </c>
    </row>
    <row r="6" ht="15.75" customHeight="1">
      <c r="A6" s="6" t="s">
        <v>7</v>
      </c>
      <c r="B6" s="6" t="s">
        <v>8</v>
      </c>
    </row>
    <row r="7" ht="15.75" customHeight="1">
      <c r="A7" s="6" t="s">
        <v>9</v>
      </c>
      <c r="B7" s="6" t="s">
        <v>10</v>
      </c>
    </row>
    <row r="8" ht="15.75" customHeight="1">
      <c r="A8" s="6" t="s">
        <v>11</v>
      </c>
      <c r="B8" s="6" t="s">
        <v>12</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5.0"/>
    <col customWidth="1" min="3" max="3" width="16.13"/>
    <col customWidth="1" min="4" max="4" width="15.38"/>
  </cols>
  <sheetData>
    <row r="1" ht="15.75" customHeight="1">
      <c r="A1" s="7" t="s">
        <v>13</v>
      </c>
      <c r="B1" s="8"/>
    </row>
    <row r="2" ht="15.75" customHeight="1">
      <c r="A2" s="6" t="s">
        <v>14</v>
      </c>
      <c r="B2" s="9" t="s">
        <v>15</v>
      </c>
    </row>
    <row r="3" ht="15.75" customHeight="1">
      <c r="A3" s="6" t="s">
        <v>16</v>
      </c>
      <c r="B3" s="10">
        <v>42.0</v>
      </c>
      <c r="D3" s="11"/>
      <c r="E3" s="12"/>
    </row>
    <row r="4" ht="15.75" customHeight="1">
      <c r="A4" s="6" t="s">
        <v>17</v>
      </c>
      <c r="B4" s="10">
        <v>26.0</v>
      </c>
      <c r="D4" s="11"/>
      <c r="E4" s="12"/>
    </row>
    <row r="5" ht="15.75" customHeight="1">
      <c r="A5" s="6" t="s">
        <v>18</v>
      </c>
      <c r="B5" s="10">
        <v>36.0</v>
      </c>
      <c r="D5" s="11"/>
      <c r="E5" s="12"/>
    </row>
    <row r="6" ht="15.75" customHeight="1">
      <c r="A6" s="6" t="s">
        <v>19</v>
      </c>
      <c r="B6" s="10">
        <v>148.0</v>
      </c>
      <c r="D6" s="11"/>
      <c r="E6" s="12"/>
    </row>
    <row r="7" ht="15.75" customHeight="1">
      <c r="A7" s="13" t="s">
        <v>20</v>
      </c>
      <c r="B7" s="13">
        <f>sum(B3:B6)</f>
        <v>252</v>
      </c>
      <c r="C7" s="12"/>
    </row>
    <row r="8" ht="15.75" customHeight="1"/>
    <row r="9" ht="15.75" customHeight="1">
      <c r="A9" s="14" t="s">
        <v>21</v>
      </c>
      <c r="B9" s="15"/>
      <c r="C9" s="15"/>
      <c r="D9" s="15"/>
      <c r="E9" s="16"/>
    </row>
    <row r="10" ht="15.75" customHeight="1">
      <c r="A10" s="6" t="s">
        <v>14</v>
      </c>
      <c r="B10" s="9" t="s">
        <v>22</v>
      </c>
      <c r="C10" s="9" t="s">
        <v>23</v>
      </c>
      <c r="D10" s="9" t="s">
        <v>24</v>
      </c>
      <c r="E10" s="9" t="s">
        <v>20</v>
      </c>
    </row>
    <row r="11" ht="15.75" customHeight="1">
      <c r="A11" s="6" t="s">
        <v>16</v>
      </c>
      <c r="B11" s="17">
        <v>0.5769230769230769</v>
      </c>
      <c r="C11" s="18">
        <v>0.34615384615384615</v>
      </c>
      <c r="D11" s="18">
        <v>0.07692307692307693</v>
      </c>
      <c r="E11" s="19">
        <f t="shared" ref="E11:E14" si="1">sum(B11:D11)</f>
        <v>1</v>
      </c>
    </row>
    <row r="12" ht="15.75" customHeight="1">
      <c r="A12" s="6" t="s">
        <v>17</v>
      </c>
      <c r="B12" s="17">
        <v>0.6666666666666666</v>
      </c>
      <c r="C12" s="18">
        <v>0.24242424242424243</v>
      </c>
      <c r="D12" s="18">
        <v>0.09090909090909091</v>
      </c>
      <c r="E12" s="19">
        <f t="shared" si="1"/>
        <v>1</v>
      </c>
    </row>
    <row r="13" ht="15.75" customHeight="1">
      <c r="A13" s="6" t="s">
        <v>18</v>
      </c>
      <c r="B13" s="17">
        <v>0.7935483870967742</v>
      </c>
      <c r="C13" s="18">
        <v>0.1935483870967742</v>
      </c>
      <c r="D13" s="18">
        <v>0.012903225806451613</v>
      </c>
      <c r="E13" s="19">
        <f t="shared" si="1"/>
        <v>1</v>
      </c>
    </row>
    <row r="14" ht="15.75" customHeight="1">
      <c r="A14" s="6" t="s">
        <v>19</v>
      </c>
      <c r="B14" s="17">
        <v>0.6785714285714286</v>
      </c>
      <c r="C14" s="18">
        <v>0.10714285714285714</v>
      </c>
      <c r="D14" s="18">
        <v>0.21428571428571427</v>
      </c>
      <c r="E14" s="19">
        <f t="shared" si="1"/>
        <v>1</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0"/>
    <col customWidth="1" min="2" max="2" width="13.75"/>
    <col customWidth="1" min="3" max="3" width="12.75"/>
    <col customWidth="1" min="4" max="4" width="13.25"/>
    <col customWidth="1" min="5" max="5" width="13.75"/>
  </cols>
  <sheetData>
    <row r="1" ht="15.75" customHeight="1">
      <c r="A1" s="7" t="s">
        <v>25</v>
      </c>
      <c r="B1" s="20"/>
      <c r="C1" s="20"/>
      <c r="D1" s="20"/>
      <c r="E1" s="8"/>
    </row>
    <row r="2" ht="15.75" customHeight="1">
      <c r="A2" s="13" t="s">
        <v>26</v>
      </c>
      <c r="B2" s="21" t="s">
        <v>27</v>
      </c>
      <c r="C2" s="21" t="s">
        <v>28</v>
      </c>
      <c r="D2" s="21" t="s">
        <v>29</v>
      </c>
      <c r="E2" s="21" t="s">
        <v>30</v>
      </c>
    </row>
    <row r="3" ht="15.75" customHeight="1">
      <c r="A3" s="6" t="s">
        <v>19</v>
      </c>
      <c r="B3" s="22">
        <f>'3. Calculations'!B100</f>
        <v>23088000</v>
      </c>
      <c r="C3" s="22" t="str">
        <f>'3. Calculations'!E22</f>
        <v>#DIV/0!</v>
      </c>
      <c r="D3" s="22" t="str">
        <f t="shared" ref="D3:D7" si="1">C3-B3</f>
        <v>#DIV/0!</v>
      </c>
      <c r="E3" s="23" t="str">
        <f t="shared" ref="E3:E7" si="2">D3/B3</f>
        <v>#DIV/0!</v>
      </c>
    </row>
    <row r="4" ht="15.75" customHeight="1">
      <c r="A4" s="6" t="s">
        <v>16</v>
      </c>
      <c r="B4" s="22">
        <f>'3. Calculations'!B101</f>
        <v>4928000</v>
      </c>
      <c r="C4" s="22" t="str">
        <f>'3. Calculations'!E19</f>
        <v>#DIV/0!</v>
      </c>
      <c r="D4" s="22" t="str">
        <f t="shared" si="1"/>
        <v>#DIV/0!</v>
      </c>
      <c r="E4" s="23" t="str">
        <f t="shared" si="2"/>
        <v>#DIV/0!</v>
      </c>
    </row>
    <row r="5" ht="15.75" customHeight="1">
      <c r="A5" s="6" t="s">
        <v>17</v>
      </c>
      <c r="B5" s="22">
        <f>'3. Calculations'!B98</f>
        <v>3870000</v>
      </c>
      <c r="C5" s="22" t="str">
        <f>'3. Calculations'!E20</f>
        <v>#DIV/0!</v>
      </c>
      <c r="D5" s="22" t="str">
        <f t="shared" si="1"/>
        <v>#DIV/0!</v>
      </c>
      <c r="E5" s="23" t="str">
        <f t="shared" si="2"/>
        <v>#DIV/0!</v>
      </c>
    </row>
    <row r="6" ht="15.75" customHeight="1">
      <c r="A6" s="6" t="s">
        <v>18</v>
      </c>
      <c r="B6" s="22">
        <f>'3. Calculations'!B99</f>
        <v>5621000</v>
      </c>
      <c r="C6" s="22" t="str">
        <f>'3. Calculations'!E21</f>
        <v>#DIV/0!</v>
      </c>
      <c r="D6" s="22" t="str">
        <f t="shared" si="1"/>
        <v>#DIV/0!</v>
      </c>
      <c r="E6" s="23" t="str">
        <f t="shared" si="2"/>
        <v>#DIV/0!</v>
      </c>
    </row>
    <row r="7" ht="15.75" customHeight="1">
      <c r="A7" s="13" t="s">
        <v>20</v>
      </c>
      <c r="B7" s="24">
        <f t="shared" ref="B7:C7" si="3">sum(B3:B6)</f>
        <v>37507000</v>
      </c>
      <c r="C7" s="24" t="str">
        <f t="shared" si="3"/>
        <v>#DIV/0!</v>
      </c>
      <c r="D7" s="24" t="str">
        <f t="shared" si="1"/>
        <v>#DIV/0!</v>
      </c>
      <c r="E7" s="25" t="str">
        <f t="shared" si="2"/>
        <v>#DIV/0!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0"/>
    <col customWidth="1" min="2" max="2" width="22.0"/>
  </cols>
  <sheetData>
    <row r="1" ht="15.75" customHeight="1">
      <c r="A1" s="7" t="s">
        <v>31</v>
      </c>
      <c r="B1" s="20"/>
      <c r="C1" s="20"/>
      <c r="D1" s="20"/>
      <c r="E1" s="8"/>
    </row>
    <row r="2" ht="15.75" customHeight="1">
      <c r="A2" s="13" t="s">
        <v>14</v>
      </c>
      <c r="B2" s="21" t="s">
        <v>32</v>
      </c>
      <c r="C2" s="21" t="s">
        <v>33</v>
      </c>
      <c r="D2" s="21" t="s">
        <v>34</v>
      </c>
      <c r="E2" s="21" t="s">
        <v>20</v>
      </c>
    </row>
    <row r="3" ht="15.75" customHeight="1">
      <c r="A3" s="6" t="s">
        <v>16</v>
      </c>
      <c r="B3" s="26">
        <f>'1. Inputs'!$B3*'1. Inputs'!B11</f>
        <v>24.23076923</v>
      </c>
      <c r="C3" s="26">
        <f>'1. Inputs'!$B3*'1. Inputs'!C11</f>
        <v>14.53846154</v>
      </c>
      <c r="D3" s="26">
        <f>'1. Inputs'!$B3*'1. Inputs'!D11</f>
        <v>3.230769231</v>
      </c>
      <c r="E3" s="27">
        <f t="shared" ref="E3:E6" si="1">sum(B3:D3)</f>
        <v>42</v>
      </c>
    </row>
    <row r="4" ht="15.75" customHeight="1">
      <c r="A4" s="6" t="s">
        <v>17</v>
      </c>
      <c r="B4" s="26">
        <f>'1. Inputs'!$B4*'1. Inputs'!B12</f>
        <v>17.33333333</v>
      </c>
      <c r="C4" s="26">
        <f>'1. Inputs'!$B4*'1. Inputs'!C12</f>
        <v>6.303030303</v>
      </c>
      <c r="D4" s="26">
        <f>'1. Inputs'!$B4*'1. Inputs'!D12</f>
        <v>2.363636364</v>
      </c>
      <c r="E4" s="27">
        <f t="shared" si="1"/>
        <v>26</v>
      </c>
    </row>
    <row r="5" ht="15.75" customHeight="1">
      <c r="A5" s="6" t="s">
        <v>18</v>
      </c>
      <c r="B5" s="26">
        <f>'1. Inputs'!$B5*'1. Inputs'!B13</f>
        <v>28.56774194</v>
      </c>
      <c r="C5" s="26">
        <f>'1. Inputs'!$B5*'1. Inputs'!C13</f>
        <v>6.967741935</v>
      </c>
      <c r="D5" s="26">
        <f>'1. Inputs'!$B5*'1. Inputs'!D13</f>
        <v>0.464516129</v>
      </c>
      <c r="E5" s="27">
        <f t="shared" si="1"/>
        <v>36</v>
      </c>
    </row>
    <row r="6" ht="15.75" customHeight="1">
      <c r="A6" s="6" t="s">
        <v>19</v>
      </c>
      <c r="B6" s="26">
        <f>'1. Inputs'!$B6*'1. Inputs'!B14</f>
        <v>100.4285714</v>
      </c>
      <c r="C6" s="26">
        <f>'1. Inputs'!$B6*'1. Inputs'!C14</f>
        <v>15.85714286</v>
      </c>
      <c r="D6" s="26">
        <f>'1. Inputs'!$B6*'1. Inputs'!D14</f>
        <v>31.71428571</v>
      </c>
      <c r="E6" s="27">
        <f t="shared" si="1"/>
        <v>148</v>
      </c>
    </row>
    <row r="7" ht="15.75" customHeight="1">
      <c r="A7" s="13" t="s">
        <v>20</v>
      </c>
      <c r="B7" s="28">
        <f t="shared" ref="B7:E7" si="2">sum(B3:B6)</f>
        <v>170.5604159</v>
      </c>
      <c r="C7" s="28">
        <f t="shared" si="2"/>
        <v>43.66637663</v>
      </c>
      <c r="D7" s="28">
        <f t="shared" si="2"/>
        <v>37.77320744</v>
      </c>
      <c r="E7" s="28">
        <f t="shared" si="2"/>
        <v>252</v>
      </c>
    </row>
    <row r="8" ht="15.75" customHeight="1"/>
    <row r="9" ht="15.75" customHeight="1">
      <c r="A9" s="7" t="s">
        <v>35</v>
      </c>
      <c r="B9" s="20"/>
      <c r="C9" s="20"/>
      <c r="D9" s="20"/>
      <c r="E9" s="8"/>
    </row>
    <row r="10" ht="15.75" customHeight="1">
      <c r="A10" s="13" t="s">
        <v>26</v>
      </c>
      <c r="B10" s="21" t="s">
        <v>32</v>
      </c>
      <c r="C10" s="21" t="s">
        <v>33</v>
      </c>
      <c r="D10" s="21" t="s">
        <v>34</v>
      </c>
      <c r="E10" s="21" t="s">
        <v>20</v>
      </c>
    </row>
    <row r="11" ht="15.75" customHeight="1">
      <c r="A11" s="6" t="s">
        <v>17</v>
      </c>
      <c r="B11" s="29">
        <f>'3. Calculations'!B43</f>
        <v>109200</v>
      </c>
      <c r="C11" s="29" t="str">
        <f>'3. Calculations'!C43</f>
        <v>#DIV/0!</v>
      </c>
      <c r="D11" s="29" t="str">
        <f>'3. Calculations'!D43</f>
        <v>#DIV/0!</v>
      </c>
      <c r="E11" s="30">
        <f>'3. Calculations'!E43</f>
        <v>109200</v>
      </c>
    </row>
    <row r="12" ht="15.75" customHeight="1">
      <c r="A12" s="6" t="s">
        <v>18</v>
      </c>
      <c r="B12" s="29" t="str">
        <f>'3. Calculations'!B44</f>
        <v>#DIV/0!</v>
      </c>
      <c r="C12" s="29" t="str">
        <f>'3. Calculations'!C44</f>
        <v>#DIV/0!</v>
      </c>
      <c r="D12" s="29">
        <f>'3. Calculations'!D44</f>
        <v>358000</v>
      </c>
      <c r="E12" s="30">
        <f>'3. Calculations'!E44</f>
        <v>358000</v>
      </c>
    </row>
    <row r="13" ht="15.75" customHeight="1">
      <c r="A13" s="6" t="s">
        <v>19</v>
      </c>
      <c r="B13" s="29" t="str">
        <f>'3. Calculations'!B45</f>
        <v>#DIV/0!</v>
      </c>
      <c r="C13" s="29" t="str">
        <f>'3. Calculations'!C45</f>
        <v>#DIV/0!</v>
      </c>
      <c r="D13" s="29">
        <f>'3. Calculations'!D45</f>
        <v>244000</v>
      </c>
      <c r="E13" s="30">
        <f>'3. Calculations'!E45</f>
        <v>244000</v>
      </c>
    </row>
    <row r="14" ht="15.75" customHeight="1">
      <c r="A14" s="6" t="s">
        <v>16</v>
      </c>
      <c r="B14" s="29">
        <f>'3. Calculations'!B46</f>
        <v>132666.6667</v>
      </c>
      <c r="C14" s="29" t="str">
        <f>'3. Calculations'!C46</f>
        <v>#DIV/0!</v>
      </c>
      <c r="D14" s="29" t="str">
        <f>'3. Calculations'!D46</f>
        <v>#DIV/0!</v>
      </c>
      <c r="E14" s="30">
        <f>'3. Calculations'!E46</f>
        <v>132666.6667</v>
      </c>
    </row>
    <row r="15" ht="15.75" customHeight="1">
      <c r="A15" s="13" t="s">
        <v>20</v>
      </c>
      <c r="B15" s="30">
        <f>'3. Calculations'!B47</f>
        <v>146536.8006</v>
      </c>
      <c r="C15" s="30">
        <f>'3. Calculations'!C47</f>
        <v>184843.0556</v>
      </c>
      <c r="D15" s="30">
        <f>'3. Calculations'!D47</f>
        <v>283644.4444</v>
      </c>
      <c r="E15" s="30">
        <f>'3. Calculations'!E47</f>
        <v>183213.4395</v>
      </c>
    </row>
    <row r="16" ht="15.75" customHeight="1"/>
    <row r="17" ht="15.75" customHeight="1">
      <c r="A17" s="7" t="s">
        <v>36</v>
      </c>
      <c r="B17" s="20"/>
      <c r="C17" s="20"/>
      <c r="D17" s="20"/>
      <c r="E17" s="8"/>
    </row>
    <row r="18" ht="15.75" customHeight="1">
      <c r="A18" s="13" t="s">
        <v>14</v>
      </c>
      <c r="B18" s="21" t="s">
        <v>32</v>
      </c>
      <c r="C18" s="21" t="s">
        <v>33</v>
      </c>
      <c r="D18" s="21" t="s">
        <v>34</v>
      </c>
      <c r="E18" s="21" t="s">
        <v>20</v>
      </c>
    </row>
    <row r="19" ht="15.75" customHeight="1">
      <c r="A19" s="6" t="s">
        <v>16</v>
      </c>
      <c r="B19" s="31">
        <f t="shared" ref="B19:D19" si="3">B3*B11</f>
        <v>2646000</v>
      </c>
      <c r="C19" s="31" t="str">
        <f t="shared" si="3"/>
        <v>#DIV/0!</v>
      </c>
      <c r="D19" s="31" t="str">
        <f t="shared" si="3"/>
        <v>#DIV/0!</v>
      </c>
      <c r="E19" s="32" t="str">
        <f t="shared" ref="E19:E22" si="5">sum(B19:D19)</f>
        <v>#DIV/0!</v>
      </c>
    </row>
    <row r="20" ht="15.75" customHeight="1">
      <c r="A20" s="6" t="s">
        <v>17</v>
      </c>
      <c r="B20" s="31" t="str">
        <f t="shared" ref="B20:D20" si="4">B4*B12</f>
        <v>#DIV/0!</v>
      </c>
      <c r="C20" s="31" t="str">
        <f t="shared" si="4"/>
        <v>#DIV/0!</v>
      </c>
      <c r="D20" s="31">
        <f t="shared" si="4"/>
        <v>846181.8182</v>
      </c>
      <c r="E20" s="32" t="str">
        <f t="shared" si="5"/>
        <v>#DIV/0!</v>
      </c>
    </row>
    <row r="21" ht="15.75" customHeight="1">
      <c r="A21" s="6" t="s">
        <v>18</v>
      </c>
      <c r="B21" s="31" t="str">
        <f t="shared" ref="B21:D21" si="6">B5*B13</f>
        <v>#DIV/0!</v>
      </c>
      <c r="C21" s="31" t="str">
        <f t="shared" si="6"/>
        <v>#DIV/0!</v>
      </c>
      <c r="D21" s="31">
        <f t="shared" si="6"/>
        <v>113341.9355</v>
      </c>
      <c r="E21" s="32" t="str">
        <f t="shared" si="5"/>
        <v>#DIV/0!</v>
      </c>
    </row>
    <row r="22" ht="15.75" customHeight="1">
      <c r="A22" s="6" t="s">
        <v>19</v>
      </c>
      <c r="B22" s="31">
        <f t="shared" ref="B22:D22" si="7">B6*B14</f>
        <v>13323523.81</v>
      </c>
      <c r="C22" s="31" t="str">
        <f t="shared" si="7"/>
        <v>#DIV/0!</v>
      </c>
      <c r="D22" s="31" t="str">
        <f t="shared" si="7"/>
        <v>#DIV/0!</v>
      </c>
      <c r="E22" s="32" t="str">
        <f t="shared" si="5"/>
        <v>#DIV/0!</v>
      </c>
    </row>
    <row r="23" ht="15.75" customHeight="1">
      <c r="A23" s="13" t="s">
        <v>20</v>
      </c>
      <c r="B23" s="32" t="str">
        <f t="shared" ref="B23:E23" si="8">sum(B19:B22)</f>
        <v>#DIV/0!</v>
      </c>
      <c r="C23" s="32" t="str">
        <f t="shared" si="8"/>
        <v>#DIV/0!</v>
      </c>
      <c r="D23" s="32" t="str">
        <f t="shared" si="8"/>
        <v>#DIV/0!</v>
      </c>
      <c r="E23" s="32" t="str">
        <f t="shared" si="8"/>
        <v>#DIV/0!</v>
      </c>
    </row>
    <row r="24" ht="15.75" customHeight="1">
      <c r="A24" s="33"/>
      <c r="B24" s="34"/>
      <c r="C24" s="34"/>
      <c r="D24" s="34"/>
      <c r="E24" s="34"/>
    </row>
    <row r="25" ht="15.75" customHeight="1">
      <c r="A25" s="7" t="s">
        <v>37</v>
      </c>
      <c r="B25" s="20"/>
      <c r="C25" s="20"/>
      <c r="D25" s="20"/>
      <c r="E25" s="8"/>
    </row>
    <row r="26" ht="15.75" customHeight="1">
      <c r="A26" s="13" t="s">
        <v>26</v>
      </c>
      <c r="B26" s="21" t="s">
        <v>32</v>
      </c>
      <c r="C26" s="21" t="s">
        <v>33</v>
      </c>
      <c r="D26" s="21" t="s">
        <v>34</v>
      </c>
      <c r="E26" s="21" t="s">
        <v>20</v>
      </c>
    </row>
    <row r="27" ht="15.75" customHeight="1">
      <c r="A27" s="6" t="s">
        <v>17</v>
      </c>
      <c r="B27" s="6">
        <f t="shared" ref="B27:D27" si="9">sumifs($C$52:$C$94,$A$52:$A$94,$A27,$E$52:$E$94,B$26)</f>
        <v>5</v>
      </c>
      <c r="C27" s="6">
        <f t="shared" si="9"/>
        <v>0</v>
      </c>
      <c r="D27" s="6">
        <f t="shared" si="9"/>
        <v>0</v>
      </c>
      <c r="E27" s="13">
        <f t="shared" ref="E27:E30" si="11">sum(B27:D27)</f>
        <v>5</v>
      </c>
    </row>
    <row r="28" ht="15.75" customHeight="1">
      <c r="A28" s="6" t="s">
        <v>18</v>
      </c>
      <c r="B28" s="6">
        <f t="shared" ref="B28:D28" si="10">sumifs($C$52:$C$94,$A$52:$A$94,$A28,$E$52:$E$94,B$26)</f>
        <v>0</v>
      </c>
      <c r="C28" s="6">
        <f t="shared" si="10"/>
        <v>0</v>
      </c>
      <c r="D28" s="6">
        <f t="shared" si="10"/>
        <v>1</v>
      </c>
      <c r="E28" s="13">
        <f t="shared" si="11"/>
        <v>1</v>
      </c>
    </row>
    <row r="29" ht="15.75" customHeight="1">
      <c r="A29" s="6" t="s">
        <v>19</v>
      </c>
      <c r="B29" s="6">
        <f t="shared" ref="B29:D29" si="12">sumifs($C$52:$C$94,$A$52:$A$94,$A29,$E$52:$E$94,B$26)</f>
        <v>0</v>
      </c>
      <c r="C29" s="6">
        <f t="shared" si="12"/>
        <v>0</v>
      </c>
      <c r="D29" s="6">
        <f t="shared" si="12"/>
        <v>1</v>
      </c>
      <c r="E29" s="13">
        <f t="shared" si="11"/>
        <v>1</v>
      </c>
    </row>
    <row r="30" ht="15.75" customHeight="1">
      <c r="A30" s="6" t="s">
        <v>16</v>
      </c>
      <c r="B30" s="6">
        <f t="shared" ref="B30:D30" si="13">sumifs($C$52:$C$94,$A$52:$A$94,$A30,$E$52:$E$94,B$26)</f>
        <v>6</v>
      </c>
      <c r="C30" s="6">
        <f t="shared" si="13"/>
        <v>0</v>
      </c>
      <c r="D30" s="6">
        <f t="shared" si="13"/>
        <v>0</v>
      </c>
      <c r="E30" s="13">
        <f t="shared" si="11"/>
        <v>6</v>
      </c>
    </row>
    <row r="31" ht="15.75" customHeight="1">
      <c r="A31" s="13" t="s">
        <v>20</v>
      </c>
      <c r="B31" s="13">
        <f t="shared" ref="B31:E31" si="14">sum(B27:B30)</f>
        <v>11</v>
      </c>
      <c r="C31" s="13">
        <f t="shared" si="14"/>
        <v>0</v>
      </c>
      <c r="D31" s="13">
        <f t="shared" si="14"/>
        <v>2</v>
      </c>
      <c r="E31" s="13">
        <f t="shared" si="14"/>
        <v>13</v>
      </c>
    </row>
    <row r="32" ht="15.75" customHeight="1">
      <c r="E32" s="34"/>
    </row>
    <row r="33" ht="15.75" customHeight="1">
      <c r="A33" s="7" t="s">
        <v>38</v>
      </c>
      <c r="B33" s="20"/>
      <c r="C33" s="20"/>
      <c r="D33" s="20"/>
      <c r="E33" s="8"/>
    </row>
    <row r="34" ht="15.75" customHeight="1">
      <c r="A34" s="13" t="s">
        <v>26</v>
      </c>
      <c r="B34" s="21" t="s">
        <v>32</v>
      </c>
      <c r="C34" s="21" t="s">
        <v>33</v>
      </c>
      <c r="D34" s="21" t="s">
        <v>34</v>
      </c>
      <c r="E34" s="21" t="s">
        <v>20</v>
      </c>
    </row>
    <row r="35" ht="15.75" customHeight="1">
      <c r="A35" s="6" t="s">
        <v>17</v>
      </c>
      <c r="B35" s="35">
        <f t="shared" ref="B35:D35" si="15">B27/$E27</f>
        <v>1</v>
      </c>
      <c r="C35" s="35">
        <f t="shared" si="15"/>
        <v>0</v>
      </c>
      <c r="D35" s="35">
        <f t="shared" si="15"/>
        <v>0</v>
      </c>
      <c r="E35" s="36">
        <f t="shared" ref="E35:E39" si="17">sum(B35:D35)</f>
        <v>1</v>
      </c>
    </row>
    <row r="36" ht="15.75" customHeight="1">
      <c r="A36" s="6" t="s">
        <v>18</v>
      </c>
      <c r="B36" s="35">
        <f t="shared" ref="B36:D36" si="16">B28/$E28</f>
        <v>0</v>
      </c>
      <c r="C36" s="35">
        <f t="shared" si="16"/>
        <v>0</v>
      </c>
      <c r="D36" s="35">
        <f t="shared" si="16"/>
        <v>1</v>
      </c>
      <c r="E36" s="36">
        <f t="shared" si="17"/>
        <v>1</v>
      </c>
    </row>
    <row r="37" ht="15.75" customHeight="1">
      <c r="A37" s="6" t="s">
        <v>19</v>
      </c>
      <c r="B37" s="35">
        <f t="shared" ref="B37:D37" si="18">B29/$E29</f>
        <v>0</v>
      </c>
      <c r="C37" s="35">
        <f t="shared" si="18"/>
        <v>0</v>
      </c>
      <c r="D37" s="35">
        <f t="shared" si="18"/>
        <v>1</v>
      </c>
      <c r="E37" s="36">
        <f t="shared" si="17"/>
        <v>1</v>
      </c>
    </row>
    <row r="38" ht="15.75" customHeight="1">
      <c r="A38" s="6" t="s">
        <v>16</v>
      </c>
      <c r="B38" s="35">
        <f t="shared" ref="B38:D38" si="19">B30/$E30</f>
        <v>1</v>
      </c>
      <c r="C38" s="35">
        <f t="shared" si="19"/>
        <v>0</v>
      </c>
      <c r="D38" s="35">
        <f t="shared" si="19"/>
        <v>0</v>
      </c>
      <c r="E38" s="36">
        <f t="shared" si="17"/>
        <v>1</v>
      </c>
    </row>
    <row r="39" ht="15.75" customHeight="1">
      <c r="A39" s="13" t="s">
        <v>20</v>
      </c>
      <c r="B39" s="36">
        <f t="shared" ref="B39:D39" si="20">B31/$E31</f>
        <v>0.8461538462</v>
      </c>
      <c r="C39" s="36">
        <f t="shared" si="20"/>
        <v>0</v>
      </c>
      <c r="D39" s="36">
        <f t="shared" si="20"/>
        <v>0.1538461538</v>
      </c>
      <c r="E39" s="36">
        <f t="shared" si="17"/>
        <v>1</v>
      </c>
    </row>
    <row r="40" ht="15.75" customHeight="1">
      <c r="E40" s="34"/>
    </row>
    <row r="41" ht="15.75" customHeight="1">
      <c r="A41" s="7" t="s">
        <v>39</v>
      </c>
      <c r="B41" s="20"/>
      <c r="C41" s="20"/>
      <c r="D41" s="20"/>
      <c r="E41" s="8"/>
    </row>
    <row r="42" ht="15.75" customHeight="1">
      <c r="A42" s="13" t="s">
        <v>26</v>
      </c>
      <c r="B42" s="21" t="s">
        <v>32</v>
      </c>
      <c r="C42" s="21" t="s">
        <v>33</v>
      </c>
      <c r="D42" s="21" t="s">
        <v>34</v>
      </c>
      <c r="E42" s="21" t="s">
        <v>20</v>
      </c>
    </row>
    <row r="43" ht="15.75" customHeight="1">
      <c r="A43" s="6" t="s">
        <v>17</v>
      </c>
      <c r="B43" s="29">
        <f t="shared" ref="B43:D43" si="21">averageifs($D$52:$D$94,$A$52:$A$94,$A43,$E$52:$E$94,B$42)</f>
        <v>109200</v>
      </c>
      <c r="C43" s="29" t="str">
        <f t="shared" si="21"/>
        <v>#DIV/0!</v>
      </c>
      <c r="D43" s="29" t="str">
        <f t="shared" si="21"/>
        <v>#DIV/0!</v>
      </c>
      <c r="E43" s="30">
        <f t="shared" ref="E43:E46" si="23">averageifs($D$52:$D$94,$A$52:$A$94,$A43)</f>
        <v>109200</v>
      </c>
    </row>
    <row r="44" ht="15.75" customHeight="1">
      <c r="A44" s="6" t="s">
        <v>18</v>
      </c>
      <c r="B44" s="22" t="str">
        <f t="shared" ref="B44:D44" si="22">averageifs($D$52:$D$94,$A$52:$A$94,$A44,$E$52:$E$94,B$42)</f>
        <v>#DIV/0!</v>
      </c>
      <c r="C44" s="22" t="str">
        <f t="shared" si="22"/>
        <v>#DIV/0!</v>
      </c>
      <c r="D44" s="22">
        <f t="shared" si="22"/>
        <v>358000</v>
      </c>
      <c r="E44" s="24">
        <f t="shared" si="23"/>
        <v>358000</v>
      </c>
    </row>
    <row r="45" ht="15.75" customHeight="1">
      <c r="A45" s="6" t="s">
        <v>19</v>
      </c>
      <c r="B45" s="22" t="str">
        <f t="shared" ref="B45:D45" si="24">averageifs($D$52:$D$94,$A$52:$A$94,$A45,$E$52:$E$94,B$42)</f>
        <v>#DIV/0!</v>
      </c>
      <c r="C45" s="22" t="str">
        <f t="shared" si="24"/>
        <v>#DIV/0!</v>
      </c>
      <c r="D45" s="22">
        <f t="shared" si="24"/>
        <v>244000</v>
      </c>
      <c r="E45" s="24">
        <f t="shared" si="23"/>
        <v>244000</v>
      </c>
    </row>
    <row r="46" ht="15.75" customHeight="1">
      <c r="A46" s="6" t="s">
        <v>16</v>
      </c>
      <c r="B46" s="22">
        <f t="shared" ref="B46:D46" si="25">averageifs($D$52:$D$94,$A$52:$A$94,$A46,$E$52:$E$94,B$42)</f>
        <v>132666.6667</v>
      </c>
      <c r="C46" s="22" t="str">
        <f t="shared" si="25"/>
        <v>#DIV/0!</v>
      </c>
      <c r="D46" s="22" t="str">
        <f t="shared" si="25"/>
        <v>#DIV/0!</v>
      </c>
      <c r="E46" s="24">
        <f t="shared" si="23"/>
        <v>132666.6667</v>
      </c>
    </row>
    <row r="47" ht="15.75" customHeight="1">
      <c r="A47" s="13" t="s">
        <v>20</v>
      </c>
      <c r="B47" s="24">
        <f t="shared" ref="B47:D47" si="26">averageifs($D$52:$D$94,$E$52:$E$94,B$42)</f>
        <v>146536.8006</v>
      </c>
      <c r="C47" s="24">
        <f t="shared" si="26"/>
        <v>184843.0556</v>
      </c>
      <c r="D47" s="24">
        <f t="shared" si="26"/>
        <v>283644.4444</v>
      </c>
      <c r="E47" s="24">
        <f>average(D53:D94)</f>
        <v>183213.4395</v>
      </c>
    </row>
    <row r="48" ht="15.75" customHeight="1">
      <c r="E48" s="34"/>
    </row>
    <row r="49" ht="15.75" customHeight="1">
      <c r="E49" s="34"/>
    </row>
    <row r="50" ht="15.75" customHeight="1">
      <c r="E50" s="34"/>
    </row>
    <row r="51" ht="15.75" customHeight="1">
      <c r="A51" s="7" t="s">
        <v>40</v>
      </c>
      <c r="B51" s="20"/>
      <c r="C51" s="20"/>
      <c r="D51" s="20"/>
      <c r="E51" s="8"/>
    </row>
    <row r="52" ht="15.75" customHeight="1">
      <c r="E52" s="6" t="s">
        <v>45</v>
      </c>
    </row>
    <row r="53" ht="15.75" customHeight="1">
      <c r="E53" s="6" t="s">
        <v>32</v>
      </c>
    </row>
    <row r="54" ht="15.75" customHeight="1">
      <c r="E54" s="6" t="s">
        <v>33</v>
      </c>
    </row>
    <row r="55" ht="15.75" customHeight="1">
      <c r="E55" s="6" t="s">
        <v>33</v>
      </c>
    </row>
    <row r="56" ht="15.75" customHeight="1">
      <c r="E56" s="6" t="s">
        <v>32</v>
      </c>
    </row>
    <row r="57" ht="15.75" customHeight="1">
      <c r="E57" s="6" t="s">
        <v>32</v>
      </c>
    </row>
    <row r="58" ht="15.75" customHeight="1">
      <c r="E58" s="6" t="s">
        <v>32</v>
      </c>
    </row>
    <row r="59" ht="15.75" customHeight="1">
      <c r="E59" s="6" t="s">
        <v>33</v>
      </c>
    </row>
    <row r="60" ht="15.75" customHeight="1">
      <c r="E60" s="6" t="s">
        <v>34</v>
      </c>
    </row>
    <row r="61" ht="15.75" customHeight="1">
      <c r="E61" s="6" t="s">
        <v>34</v>
      </c>
    </row>
    <row r="62" ht="15.75" customHeight="1">
      <c r="E62" s="6" t="s">
        <v>34</v>
      </c>
    </row>
    <row r="63" ht="15.75" customHeight="1">
      <c r="E63" s="6" t="s">
        <v>32</v>
      </c>
    </row>
    <row r="64" ht="15.75" customHeight="1">
      <c r="E64" s="6" t="s">
        <v>33</v>
      </c>
    </row>
    <row r="65" ht="15.75" customHeight="1">
      <c r="E65" s="6" t="s">
        <v>32</v>
      </c>
    </row>
    <row r="66" ht="15.75" customHeight="1">
      <c r="E66" s="6" t="s">
        <v>32</v>
      </c>
    </row>
    <row r="67" ht="15.75" customHeight="1">
      <c r="E67" s="6" t="s">
        <v>33</v>
      </c>
    </row>
    <row r="68" ht="15.75" customHeight="1">
      <c r="E68" s="6" t="s">
        <v>32</v>
      </c>
    </row>
    <row r="69" ht="15.75" customHeight="1">
      <c r="E69" s="6" t="s">
        <v>32</v>
      </c>
    </row>
    <row r="70" ht="15.75" customHeight="1">
      <c r="E70" s="6" t="s">
        <v>32</v>
      </c>
    </row>
    <row r="71" ht="15.75" customHeight="1">
      <c r="E71" s="6" t="s">
        <v>32</v>
      </c>
    </row>
    <row r="72" ht="15.75" customHeight="1">
      <c r="E72" s="6" t="s">
        <v>34</v>
      </c>
    </row>
    <row r="73" ht="15.75" customHeight="1">
      <c r="E73" s="6" t="s">
        <v>34</v>
      </c>
    </row>
    <row r="74" ht="15.75" customHeight="1">
      <c r="E74" s="6" t="s">
        <v>34</v>
      </c>
    </row>
    <row r="75" ht="15.75" customHeight="1">
      <c r="E75" s="6" t="s">
        <v>32</v>
      </c>
    </row>
    <row r="76" ht="15.75" customHeight="1">
      <c r="E76" s="6" t="s">
        <v>33</v>
      </c>
    </row>
    <row r="77" ht="15.75" customHeight="1">
      <c r="E77" s="6" t="s">
        <v>32</v>
      </c>
    </row>
    <row r="78" ht="15.75" customHeight="1">
      <c r="E78" s="6" t="s">
        <v>32</v>
      </c>
    </row>
    <row r="79" ht="15.75" customHeight="1">
      <c r="E79" s="6" t="s">
        <v>32</v>
      </c>
    </row>
    <row r="80" ht="15.75" customHeight="1">
      <c r="E80" s="6" t="s">
        <v>32</v>
      </c>
    </row>
    <row r="81" ht="15.75" customHeight="1">
      <c r="E81" s="6" t="s">
        <v>33</v>
      </c>
    </row>
    <row r="82" ht="15.75" customHeight="1">
      <c r="E82" s="6" t="s">
        <v>32</v>
      </c>
    </row>
    <row r="83" ht="15.75" customHeight="1">
      <c r="E83" s="6" t="s">
        <v>32</v>
      </c>
    </row>
    <row r="84" ht="15.75" customHeight="1">
      <c r="E84" s="6" t="s">
        <v>32</v>
      </c>
    </row>
    <row r="85" ht="15.75" customHeight="1">
      <c r="E85" s="6" t="s">
        <v>32</v>
      </c>
    </row>
    <row r="86" ht="15.75" customHeight="1">
      <c r="E86" s="6" t="s">
        <v>34</v>
      </c>
    </row>
    <row r="87" ht="15.75" customHeight="1">
      <c r="E87" s="6" t="s">
        <v>32</v>
      </c>
    </row>
    <row r="88" ht="15.75" customHeight="1">
      <c r="E88" s="6" t="s">
        <v>32</v>
      </c>
    </row>
    <row r="89" ht="15.75" customHeight="1">
      <c r="E89" s="6" t="s">
        <v>34</v>
      </c>
    </row>
    <row r="90" ht="15.75" customHeight="1">
      <c r="E90" s="6" t="s">
        <v>32</v>
      </c>
    </row>
    <row r="91" ht="15.75" customHeight="1">
      <c r="E91" s="6" t="s">
        <v>34</v>
      </c>
    </row>
    <row r="92" ht="15.75" customHeight="1">
      <c r="E92" s="6" t="s">
        <v>33</v>
      </c>
    </row>
    <row r="93" ht="15.75" customHeight="1">
      <c r="E93" s="6" t="s">
        <v>32</v>
      </c>
    </row>
    <row r="94" ht="15.75" customHeight="1">
      <c r="E94" s="6" t="s">
        <v>32</v>
      </c>
    </row>
    <row r="95" ht="15.75" customHeight="1">
      <c r="D95" s="38"/>
    </row>
    <row r="96" ht="15.75" customHeight="1">
      <c r="A96" s="7" t="s">
        <v>88</v>
      </c>
      <c r="B96" s="8"/>
      <c r="D96" s="38"/>
    </row>
    <row r="97" ht="15.75" customHeight="1"/>
    <row r="98" ht="15.75" customHeight="1">
      <c r="D98" s="38"/>
    </row>
    <row r="99" ht="15.75" customHeight="1">
      <c r="D99" s="38"/>
    </row>
    <row r="100" ht="15.75" customHeight="1">
      <c r="D100" s="38"/>
    </row>
    <row r="101" ht="15.75" customHeight="1">
      <c r="D101" s="38"/>
    </row>
    <row r="102" ht="15.75" customHeight="1">
      <c r="D102" s="38"/>
    </row>
    <row r="103" ht="15.75" customHeight="1">
      <c r="D103" s="38"/>
    </row>
    <row r="104" ht="15.75" customHeight="1">
      <c r="D104" s="38"/>
    </row>
    <row r="105" ht="15.75" customHeight="1">
      <c r="D105" s="38"/>
    </row>
    <row r="106" ht="15.75" customHeight="1">
      <c r="D106" s="38"/>
    </row>
    <row r="107" ht="15.75" customHeight="1">
      <c r="D107" s="38"/>
    </row>
    <row r="108" ht="15.75" customHeight="1">
      <c r="D108" s="38"/>
    </row>
    <row r="109" ht="15.75" customHeight="1">
      <c r="D109" s="38"/>
    </row>
    <row r="110" ht="15.75" customHeight="1">
      <c r="D110" s="38"/>
    </row>
    <row r="111" ht="15.75" customHeight="1">
      <c r="D111" s="38"/>
    </row>
    <row r="112" ht="15.75" customHeight="1">
      <c r="D112" s="38"/>
    </row>
    <row r="113" ht="15.75" customHeight="1">
      <c r="D113" s="38"/>
    </row>
    <row r="114" ht="15.75" customHeight="1">
      <c r="D114" s="38"/>
    </row>
    <row r="115" ht="15.75" customHeight="1">
      <c r="D115" s="38"/>
    </row>
    <row r="116" ht="15.75" customHeight="1">
      <c r="D116" s="38"/>
    </row>
    <row r="117" ht="15.75" customHeight="1">
      <c r="D117" s="38"/>
    </row>
    <row r="118" ht="15.75" customHeight="1">
      <c r="D118" s="38"/>
    </row>
    <row r="119" ht="15.75" customHeight="1">
      <c r="D119" s="38"/>
    </row>
    <row r="120" ht="15.75" customHeight="1">
      <c r="D120" s="38"/>
    </row>
    <row r="121" ht="15.75" customHeight="1">
      <c r="D121" s="38"/>
    </row>
    <row r="122" ht="15.75" customHeight="1">
      <c r="D122" s="38"/>
    </row>
    <row r="123" ht="15.75" customHeight="1">
      <c r="D123" s="38"/>
    </row>
    <row r="124" ht="15.75" customHeight="1">
      <c r="D124" s="38"/>
    </row>
    <row r="125" ht="15.75" customHeight="1">
      <c r="D125" s="38"/>
    </row>
    <row r="126" ht="15.75" customHeight="1">
      <c r="D126" s="38"/>
    </row>
    <row r="127" ht="15.75" customHeight="1">
      <c r="D127" s="38"/>
    </row>
    <row r="128" ht="15.75" customHeight="1">
      <c r="D128" s="38"/>
    </row>
    <row r="129" ht="15.75" customHeight="1">
      <c r="D129" s="38"/>
    </row>
    <row r="130" ht="15.75" customHeight="1">
      <c r="D130" s="38"/>
    </row>
    <row r="131" ht="15.75" customHeight="1">
      <c r="D131" s="38"/>
    </row>
    <row r="132" ht="15.75" customHeight="1">
      <c r="D132" s="38"/>
    </row>
    <row r="133" ht="15.75" customHeight="1">
      <c r="D133" s="38"/>
    </row>
    <row r="134" ht="15.75" customHeight="1">
      <c r="D134" s="38"/>
    </row>
    <row r="135" ht="15.75" customHeight="1">
      <c r="D135" s="38"/>
    </row>
    <row r="136" ht="15.75" customHeight="1">
      <c r="D136" s="38"/>
    </row>
    <row r="137" ht="15.75" customHeight="1">
      <c r="D137" s="38"/>
    </row>
    <row r="138" ht="15.75" customHeight="1">
      <c r="D138" s="38"/>
    </row>
    <row r="139" ht="15.75" customHeight="1">
      <c r="D139" s="38"/>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39" t="s">
        <v>91</v>
      </c>
      <c r="B1" s="39" t="s">
        <v>92</v>
      </c>
      <c r="C1" s="39" t="s">
        <v>93</v>
      </c>
      <c r="D1" s="39" t="s">
        <v>94</v>
      </c>
      <c r="E1" s="39" t="s">
        <v>95</v>
      </c>
      <c r="F1" s="39" t="s">
        <v>96</v>
      </c>
      <c r="G1" s="39" t="s">
        <v>97</v>
      </c>
      <c r="H1" s="39" t="s">
        <v>98</v>
      </c>
      <c r="I1" s="39" t="s">
        <v>99</v>
      </c>
      <c r="J1" s="39" t="s">
        <v>100</v>
      </c>
      <c r="K1" s="39" t="s">
        <v>101</v>
      </c>
      <c r="L1" s="39" t="s">
        <v>102</v>
      </c>
      <c r="M1" s="39" t="s">
        <v>103</v>
      </c>
      <c r="N1" s="39" t="s">
        <v>104</v>
      </c>
      <c r="O1" s="39" t="s">
        <v>105</v>
      </c>
      <c r="P1" s="39" t="s">
        <v>106</v>
      </c>
      <c r="Q1" s="39" t="s">
        <v>107</v>
      </c>
      <c r="R1" s="39" t="s">
        <v>108</v>
      </c>
      <c r="S1" s="39" t="s">
        <v>41</v>
      </c>
      <c r="T1" s="39" t="s">
        <v>109</v>
      </c>
      <c r="U1" s="39" t="s">
        <v>42</v>
      </c>
      <c r="V1" s="39" t="s">
        <v>110</v>
      </c>
      <c r="W1" s="39" t="s">
        <v>111</v>
      </c>
      <c r="X1" s="39" t="s">
        <v>112</v>
      </c>
      <c r="Y1" s="39" t="s">
        <v>113</v>
      </c>
      <c r="Z1" s="39" t="s">
        <v>114</v>
      </c>
      <c r="AA1" s="39" t="s">
        <v>115</v>
      </c>
      <c r="AB1" s="39" t="s">
        <v>116</v>
      </c>
      <c r="AC1" s="39" t="s">
        <v>117</v>
      </c>
      <c r="AD1" s="39" t="s">
        <v>118</v>
      </c>
      <c r="AE1" s="39" t="s">
        <v>119</v>
      </c>
      <c r="AF1" s="39" t="s">
        <v>120</v>
      </c>
      <c r="AG1" s="39" t="s">
        <v>121</v>
      </c>
      <c r="AH1" s="39" t="s">
        <v>122</v>
      </c>
      <c r="AI1" s="39" t="s">
        <v>123</v>
      </c>
      <c r="AJ1" s="39" t="s">
        <v>124</v>
      </c>
    </row>
    <row r="2" ht="15.75" customHeight="1">
      <c r="A2" s="40">
        <v>1.0</v>
      </c>
      <c r="B2" s="39" t="s">
        <v>125</v>
      </c>
      <c r="C2" s="39" t="s">
        <v>126</v>
      </c>
      <c r="D2" s="39" t="s">
        <v>127</v>
      </c>
      <c r="E2" s="39" t="s">
        <v>126</v>
      </c>
      <c r="F2" s="39" t="s">
        <v>128</v>
      </c>
      <c r="G2" s="39" t="s">
        <v>129</v>
      </c>
      <c r="H2" s="39" t="s">
        <v>130</v>
      </c>
      <c r="I2" s="39"/>
      <c r="J2" s="39" t="s">
        <v>131</v>
      </c>
      <c r="K2" s="40">
        <v>2759.0</v>
      </c>
      <c r="L2" s="39" t="s">
        <v>132</v>
      </c>
      <c r="M2" s="39" t="s">
        <v>133</v>
      </c>
      <c r="N2" s="39" t="s">
        <v>134</v>
      </c>
      <c r="O2" s="39" t="s">
        <v>135</v>
      </c>
      <c r="P2" s="39" t="s">
        <v>136</v>
      </c>
      <c r="Q2" s="40">
        <v>94108.0</v>
      </c>
      <c r="R2" s="39" t="s">
        <v>137</v>
      </c>
      <c r="S2" s="39" t="s">
        <v>19</v>
      </c>
      <c r="T2" s="39" t="s">
        <v>138</v>
      </c>
      <c r="U2" s="39" t="s">
        <v>68</v>
      </c>
      <c r="V2" s="39" t="s">
        <v>139</v>
      </c>
      <c r="W2" s="41">
        <v>45419.0</v>
      </c>
      <c r="X2" s="40">
        <v>75.0</v>
      </c>
      <c r="Y2" s="39" t="s">
        <v>140</v>
      </c>
      <c r="Z2" s="41">
        <v>36192.0</v>
      </c>
      <c r="AA2" s="39" t="s">
        <v>141</v>
      </c>
      <c r="AB2" s="39" t="s">
        <v>142</v>
      </c>
      <c r="AC2" s="39" t="s">
        <v>143</v>
      </c>
      <c r="AD2" s="40">
        <v>144000.0</v>
      </c>
      <c r="AE2" s="40">
        <v>144000.0</v>
      </c>
      <c r="AF2" s="39" t="s">
        <v>144</v>
      </c>
      <c r="AG2" s="39" t="s">
        <v>145</v>
      </c>
      <c r="AH2" s="39" t="s">
        <v>146</v>
      </c>
      <c r="AI2" s="42" t="s">
        <v>147</v>
      </c>
      <c r="AJ2" s="42" t="s">
        <v>148</v>
      </c>
    </row>
    <row r="3" ht="15.75" customHeight="1">
      <c r="A3" s="40">
        <v>2.0</v>
      </c>
      <c r="B3" s="39" t="s">
        <v>149</v>
      </c>
      <c r="C3" s="39" t="s">
        <v>150</v>
      </c>
      <c r="D3" s="39" t="s">
        <v>151</v>
      </c>
      <c r="E3" s="39" t="s">
        <v>150</v>
      </c>
      <c r="F3" s="39" t="s">
        <v>152</v>
      </c>
      <c r="G3" s="39" t="s">
        <v>153</v>
      </c>
      <c r="H3" s="39" t="s">
        <v>154</v>
      </c>
      <c r="I3" s="39"/>
      <c r="J3" s="39" t="s">
        <v>155</v>
      </c>
      <c r="K3" s="40">
        <v>7973.0</v>
      </c>
      <c r="L3" s="39" t="s">
        <v>156</v>
      </c>
      <c r="M3" s="39" t="s">
        <v>157</v>
      </c>
      <c r="N3" s="39"/>
      <c r="O3" s="39" t="s">
        <v>158</v>
      </c>
      <c r="P3" s="39" t="s">
        <v>159</v>
      </c>
      <c r="Q3" s="40">
        <v>80202.0</v>
      </c>
      <c r="R3" s="39" t="s">
        <v>137</v>
      </c>
      <c r="S3" s="39" t="s">
        <v>19</v>
      </c>
      <c r="T3" s="39" t="s">
        <v>160</v>
      </c>
      <c r="U3" s="39" t="s">
        <v>72</v>
      </c>
      <c r="V3" s="39" t="s">
        <v>161</v>
      </c>
      <c r="W3" s="41">
        <v>44651.0</v>
      </c>
      <c r="X3" s="40">
        <v>143.0</v>
      </c>
      <c r="Y3" s="39" t="s">
        <v>162</v>
      </c>
      <c r="Z3" s="41">
        <v>36619.0</v>
      </c>
      <c r="AA3" s="39" t="s">
        <v>163</v>
      </c>
      <c r="AB3" s="39" t="s">
        <v>142</v>
      </c>
      <c r="AC3" s="39" t="s">
        <v>143</v>
      </c>
      <c r="AD3" s="40">
        <v>160000.0</v>
      </c>
      <c r="AE3" s="40">
        <v>160000.0</v>
      </c>
      <c r="AF3" s="39" t="s">
        <v>144</v>
      </c>
      <c r="AG3" s="39" t="s">
        <v>145</v>
      </c>
      <c r="AH3" s="39" t="s">
        <v>146</v>
      </c>
      <c r="AI3" s="42" t="s">
        <v>164</v>
      </c>
      <c r="AJ3" s="42" t="s">
        <v>165</v>
      </c>
    </row>
    <row r="4" ht="15.75" customHeight="1">
      <c r="A4" s="40">
        <v>3.0</v>
      </c>
      <c r="B4" s="39" t="s">
        <v>166</v>
      </c>
      <c r="C4" s="39" t="s">
        <v>167</v>
      </c>
      <c r="D4" s="39" t="s">
        <v>168</v>
      </c>
      <c r="E4" s="39" t="s">
        <v>167</v>
      </c>
      <c r="F4" s="39" t="s">
        <v>152</v>
      </c>
      <c r="G4" s="39" t="s">
        <v>169</v>
      </c>
      <c r="H4" s="39" t="s">
        <v>170</v>
      </c>
      <c r="I4" s="39"/>
      <c r="J4" s="39" t="s">
        <v>171</v>
      </c>
      <c r="K4" s="40">
        <v>3659.0</v>
      </c>
      <c r="L4" s="39" t="s">
        <v>172</v>
      </c>
      <c r="M4" s="39" t="s">
        <v>173</v>
      </c>
      <c r="N4" s="39"/>
      <c r="O4" s="39" t="s">
        <v>174</v>
      </c>
      <c r="P4" s="39" t="s">
        <v>175</v>
      </c>
      <c r="Q4" s="39" t="s">
        <v>176</v>
      </c>
      <c r="R4" s="39" t="s">
        <v>177</v>
      </c>
      <c r="S4" s="39" t="s">
        <v>19</v>
      </c>
      <c r="T4" s="39" t="s">
        <v>160</v>
      </c>
      <c r="U4" s="39" t="s">
        <v>70</v>
      </c>
      <c r="V4" s="39" t="s">
        <v>178</v>
      </c>
      <c r="W4" s="41">
        <v>45339.0</v>
      </c>
      <c r="X4" s="40">
        <v>46.0</v>
      </c>
      <c r="Y4" s="39" t="s">
        <v>179</v>
      </c>
      <c r="Z4" s="41">
        <v>36052.0</v>
      </c>
      <c r="AA4" s="39" t="s">
        <v>163</v>
      </c>
      <c r="AB4" s="39" t="s">
        <v>180</v>
      </c>
      <c r="AC4" s="39" t="s">
        <v>181</v>
      </c>
      <c r="AD4" s="40">
        <v>108000.0</v>
      </c>
      <c r="AE4" s="40">
        <v>108000.0</v>
      </c>
      <c r="AF4" s="39" t="s">
        <v>144</v>
      </c>
      <c r="AG4" s="39" t="s">
        <v>145</v>
      </c>
      <c r="AH4" s="39" t="s">
        <v>146</v>
      </c>
      <c r="AI4" s="42" t="s">
        <v>182</v>
      </c>
      <c r="AJ4" s="42" t="s">
        <v>183</v>
      </c>
    </row>
    <row r="5" ht="15.75" customHeight="1">
      <c r="A5" s="40">
        <v>4.0</v>
      </c>
      <c r="B5" s="39" t="s">
        <v>184</v>
      </c>
      <c r="C5" s="39" t="s">
        <v>128</v>
      </c>
      <c r="D5" s="39" t="s">
        <v>185</v>
      </c>
      <c r="E5" s="39" t="s">
        <v>128</v>
      </c>
      <c r="F5" s="39" t="s">
        <v>186</v>
      </c>
      <c r="G5" s="39" t="s">
        <v>187</v>
      </c>
      <c r="H5" s="39" t="s">
        <v>188</v>
      </c>
      <c r="I5" s="39"/>
      <c r="J5" s="39" t="s">
        <v>189</v>
      </c>
      <c r="K5" s="40">
        <v>5519.0</v>
      </c>
      <c r="L5" s="39" t="s">
        <v>190</v>
      </c>
      <c r="M5" s="39" t="s">
        <v>191</v>
      </c>
      <c r="N5" s="39" t="s">
        <v>192</v>
      </c>
      <c r="O5" s="39" t="s">
        <v>193</v>
      </c>
      <c r="P5" s="39" t="s">
        <v>194</v>
      </c>
      <c r="Q5" s="40">
        <v>10011.0</v>
      </c>
      <c r="R5" s="39" t="s">
        <v>137</v>
      </c>
      <c r="S5" s="39" t="s">
        <v>19</v>
      </c>
      <c r="T5" s="39" t="s">
        <v>138</v>
      </c>
      <c r="U5" s="39" t="s">
        <v>71</v>
      </c>
      <c r="V5" s="39" t="s">
        <v>195</v>
      </c>
      <c r="W5" s="41">
        <v>45251.0</v>
      </c>
      <c r="X5" s="40">
        <v>83.0</v>
      </c>
      <c r="Y5" s="39" t="s">
        <v>196</v>
      </c>
      <c r="Z5" s="41">
        <v>32887.0</v>
      </c>
      <c r="AA5" s="39" t="s">
        <v>163</v>
      </c>
      <c r="AB5" s="39" t="s">
        <v>180</v>
      </c>
      <c r="AC5" s="39" t="s">
        <v>197</v>
      </c>
      <c r="AD5" s="40">
        <v>129000.0</v>
      </c>
      <c r="AE5" s="40">
        <v>129000.0</v>
      </c>
      <c r="AF5" s="39" t="s">
        <v>144</v>
      </c>
      <c r="AG5" s="39" t="s">
        <v>145</v>
      </c>
      <c r="AH5" s="39" t="s">
        <v>146</v>
      </c>
      <c r="AI5" s="42" t="s">
        <v>198</v>
      </c>
      <c r="AJ5" s="42" t="s">
        <v>199</v>
      </c>
    </row>
    <row r="6" ht="15.75" customHeight="1">
      <c r="A6" s="40">
        <v>5.0</v>
      </c>
      <c r="B6" s="39" t="s">
        <v>200</v>
      </c>
      <c r="C6" s="39" t="s">
        <v>201</v>
      </c>
      <c r="D6" s="39" t="s">
        <v>202</v>
      </c>
      <c r="E6" s="39" t="s">
        <v>201</v>
      </c>
      <c r="F6" s="39" t="s">
        <v>203</v>
      </c>
      <c r="G6" s="39" t="s">
        <v>204</v>
      </c>
      <c r="H6" s="39" t="s">
        <v>205</v>
      </c>
      <c r="I6" s="39"/>
      <c r="J6" s="39" t="s">
        <v>206</v>
      </c>
      <c r="K6" s="40">
        <v>5629.0</v>
      </c>
      <c r="L6" s="39" t="s">
        <v>207</v>
      </c>
      <c r="M6" s="39" t="s">
        <v>208</v>
      </c>
      <c r="N6" s="39" t="s">
        <v>209</v>
      </c>
      <c r="O6" s="39" t="s">
        <v>135</v>
      </c>
      <c r="P6" s="39" t="s">
        <v>136</v>
      </c>
      <c r="Q6" s="40">
        <v>94105.0</v>
      </c>
      <c r="R6" s="39" t="s">
        <v>137</v>
      </c>
      <c r="S6" s="39" t="s">
        <v>19</v>
      </c>
      <c r="T6" s="39" t="s">
        <v>160</v>
      </c>
      <c r="U6" s="39" t="s">
        <v>71</v>
      </c>
      <c r="V6" s="39" t="s">
        <v>139</v>
      </c>
      <c r="W6" s="41">
        <v>44924.0</v>
      </c>
      <c r="X6" s="40">
        <v>151.0</v>
      </c>
      <c r="Y6" s="39" t="s">
        <v>210</v>
      </c>
      <c r="Z6" s="41">
        <v>31342.0</v>
      </c>
      <c r="AA6" s="39" t="s">
        <v>163</v>
      </c>
      <c r="AB6" s="39" t="s">
        <v>142</v>
      </c>
      <c r="AC6" s="39" t="s">
        <v>211</v>
      </c>
      <c r="AD6" s="40">
        <v>142000.0</v>
      </c>
      <c r="AE6" s="40">
        <v>142000.0</v>
      </c>
      <c r="AF6" s="39" t="s">
        <v>144</v>
      </c>
      <c r="AG6" s="39" t="s">
        <v>145</v>
      </c>
      <c r="AH6" s="39" t="s">
        <v>146</v>
      </c>
      <c r="AI6" s="42" t="s">
        <v>212</v>
      </c>
      <c r="AJ6" s="42" t="s">
        <v>213</v>
      </c>
    </row>
    <row r="7" ht="15.75" customHeight="1">
      <c r="A7" s="40">
        <v>6.0</v>
      </c>
      <c r="B7" s="39" t="s">
        <v>214</v>
      </c>
      <c r="C7" s="39" t="s">
        <v>215</v>
      </c>
      <c r="D7" s="39" t="s">
        <v>216</v>
      </c>
      <c r="E7" s="39" t="s">
        <v>215</v>
      </c>
      <c r="F7" s="39" t="s">
        <v>217</v>
      </c>
      <c r="G7" s="39" t="s">
        <v>218</v>
      </c>
      <c r="H7" s="39" t="s">
        <v>219</v>
      </c>
      <c r="I7" s="39"/>
      <c r="J7" s="39" t="s">
        <v>220</v>
      </c>
      <c r="K7" s="40">
        <v>2702.0</v>
      </c>
      <c r="L7" s="39" t="s">
        <v>221</v>
      </c>
      <c r="M7" s="39" t="s">
        <v>222</v>
      </c>
      <c r="N7" s="39" t="s">
        <v>223</v>
      </c>
      <c r="O7" s="39" t="s">
        <v>135</v>
      </c>
      <c r="P7" s="39" t="s">
        <v>136</v>
      </c>
      <c r="Q7" s="40">
        <v>94104.0</v>
      </c>
      <c r="R7" s="39" t="s">
        <v>137</v>
      </c>
      <c r="S7" s="39" t="s">
        <v>19</v>
      </c>
      <c r="T7" s="39" t="s">
        <v>160</v>
      </c>
      <c r="U7" s="39" t="s">
        <v>70</v>
      </c>
      <c r="V7" s="39" t="s">
        <v>139</v>
      </c>
      <c r="W7" s="41">
        <v>45785.0</v>
      </c>
      <c r="X7" s="40">
        <v>53.0</v>
      </c>
      <c r="Y7" s="39" t="s">
        <v>224</v>
      </c>
      <c r="Z7" s="41">
        <v>32329.0</v>
      </c>
      <c r="AA7" s="39" t="s">
        <v>163</v>
      </c>
      <c r="AB7" s="39" t="s">
        <v>225</v>
      </c>
      <c r="AC7" s="39" t="s">
        <v>181</v>
      </c>
      <c r="AD7" s="40">
        <v>131000.0</v>
      </c>
      <c r="AE7" s="40">
        <v>131000.0</v>
      </c>
      <c r="AF7" s="39" t="s">
        <v>144</v>
      </c>
      <c r="AG7" s="39" t="s">
        <v>145</v>
      </c>
      <c r="AH7" s="39" t="s">
        <v>146</v>
      </c>
      <c r="AI7" s="42" t="s">
        <v>226</v>
      </c>
      <c r="AJ7" s="42" t="s">
        <v>227</v>
      </c>
    </row>
    <row r="8" ht="15.75" customHeight="1">
      <c r="A8" s="40">
        <v>7.0</v>
      </c>
      <c r="B8" s="39" t="s">
        <v>228</v>
      </c>
      <c r="C8" s="39" t="s">
        <v>229</v>
      </c>
      <c r="D8" s="39" t="s">
        <v>230</v>
      </c>
      <c r="E8" s="39" t="s">
        <v>229</v>
      </c>
      <c r="F8" s="39" t="s">
        <v>231</v>
      </c>
      <c r="G8" s="39" t="s">
        <v>232</v>
      </c>
      <c r="H8" s="39" t="s">
        <v>233</v>
      </c>
      <c r="I8" s="39"/>
      <c r="J8" s="39" t="s">
        <v>234</v>
      </c>
      <c r="K8" s="40">
        <v>8442.0</v>
      </c>
      <c r="L8" s="39" t="s">
        <v>235</v>
      </c>
      <c r="M8" s="39" t="s">
        <v>133</v>
      </c>
      <c r="N8" s="39" t="s">
        <v>134</v>
      </c>
      <c r="O8" s="39" t="s">
        <v>135</v>
      </c>
      <c r="P8" s="39" t="s">
        <v>136</v>
      </c>
      <c r="Q8" s="40">
        <v>94108.0</v>
      </c>
      <c r="R8" s="39" t="s">
        <v>137</v>
      </c>
      <c r="S8" s="39" t="s">
        <v>19</v>
      </c>
      <c r="T8" s="39" t="s">
        <v>236</v>
      </c>
      <c r="U8" s="39" t="s">
        <v>76</v>
      </c>
      <c r="V8" s="39" t="s">
        <v>139</v>
      </c>
      <c r="W8" s="41">
        <v>44935.0</v>
      </c>
      <c r="X8" s="40">
        <v>52.0</v>
      </c>
      <c r="Y8" s="39" t="s">
        <v>237</v>
      </c>
      <c r="Z8" s="41">
        <v>34720.0</v>
      </c>
      <c r="AA8" s="39" t="s">
        <v>163</v>
      </c>
      <c r="AB8" s="39" t="s">
        <v>180</v>
      </c>
      <c r="AC8" s="39" t="s">
        <v>181</v>
      </c>
      <c r="AD8" s="40">
        <v>198000.0</v>
      </c>
      <c r="AE8" s="40">
        <v>198000.0</v>
      </c>
      <c r="AF8" s="39" t="s">
        <v>144</v>
      </c>
      <c r="AG8" s="39" t="s">
        <v>145</v>
      </c>
      <c r="AH8" s="39" t="s">
        <v>146</v>
      </c>
      <c r="AI8" s="42" t="s">
        <v>238</v>
      </c>
      <c r="AJ8" s="42" t="s">
        <v>239</v>
      </c>
    </row>
    <row r="9" ht="15.75" customHeight="1">
      <c r="A9" s="40">
        <v>8.0</v>
      </c>
      <c r="B9" s="39" t="s">
        <v>240</v>
      </c>
      <c r="C9" s="39" t="s">
        <v>241</v>
      </c>
      <c r="D9" s="39" t="s">
        <v>242</v>
      </c>
      <c r="E9" s="39" t="s">
        <v>241</v>
      </c>
      <c r="F9" s="39" t="s">
        <v>203</v>
      </c>
      <c r="G9" s="39" t="s">
        <v>243</v>
      </c>
      <c r="H9" s="39" t="s">
        <v>244</v>
      </c>
      <c r="I9" s="39"/>
      <c r="J9" s="39" t="s">
        <v>245</v>
      </c>
      <c r="K9" s="40">
        <v>2110.0</v>
      </c>
      <c r="L9" s="39" t="s">
        <v>246</v>
      </c>
      <c r="M9" s="39" t="s">
        <v>247</v>
      </c>
      <c r="N9" s="39" t="s">
        <v>248</v>
      </c>
      <c r="O9" s="39" t="s">
        <v>135</v>
      </c>
      <c r="P9" s="39" t="s">
        <v>136</v>
      </c>
      <c r="Q9" s="40">
        <v>94103.0</v>
      </c>
      <c r="R9" s="39" t="s">
        <v>137</v>
      </c>
      <c r="S9" s="39" t="s">
        <v>19</v>
      </c>
      <c r="T9" s="39" t="s">
        <v>236</v>
      </c>
      <c r="U9" s="39" t="s">
        <v>71</v>
      </c>
      <c r="V9" s="39" t="s">
        <v>139</v>
      </c>
      <c r="W9" s="41">
        <v>44998.0</v>
      </c>
      <c r="X9" s="40">
        <v>77.0</v>
      </c>
      <c r="Y9" s="39" t="s">
        <v>249</v>
      </c>
      <c r="Z9" s="41">
        <v>31192.0</v>
      </c>
      <c r="AA9" s="39" t="s">
        <v>141</v>
      </c>
      <c r="AB9" s="39" t="s">
        <v>180</v>
      </c>
      <c r="AC9" s="39" t="s">
        <v>197</v>
      </c>
      <c r="AD9" s="40">
        <v>133000.0</v>
      </c>
      <c r="AE9" s="40">
        <v>133000.0</v>
      </c>
      <c r="AF9" s="39" t="s">
        <v>144</v>
      </c>
      <c r="AG9" s="39" t="s">
        <v>145</v>
      </c>
      <c r="AH9" s="39" t="s">
        <v>146</v>
      </c>
      <c r="AI9" s="42" t="s">
        <v>250</v>
      </c>
      <c r="AJ9" s="42" t="s">
        <v>251</v>
      </c>
    </row>
    <row r="10" ht="15.75" customHeight="1">
      <c r="A10" s="40">
        <v>9.0</v>
      </c>
      <c r="B10" s="39" t="s">
        <v>252</v>
      </c>
      <c r="C10" s="39" t="s">
        <v>253</v>
      </c>
      <c r="D10" s="39" t="s">
        <v>254</v>
      </c>
      <c r="E10" s="39" t="s">
        <v>253</v>
      </c>
      <c r="F10" s="39" t="s">
        <v>255</v>
      </c>
      <c r="G10" s="39" t="s">
        <v>256</v>
      </c>
      <c r="H10" s="39" t="s">
        <v>257</v>
      </c>
      <c r="I10" s="39"/>
      <c r="J10" s="39" t="s">
        <v>258</v>
      </c>
      <c r="K10" s="40">
        <v>1072.0</v>
      </c>
      <c r="L10" s="39" t="s">
        <v>259</v>
      </c>
      <c r="M10" s="39" t="s">
        <v>260</v>
      </c>
      <c r="N10" s="39" t="s">
        <v>261</v>
      </c>
      <c r="O10" s="39" t="s">
        <v>193</v>
      </c>
      <c r="P10" s="39" t="s">
        <v>194</v>
      </c>
      <c r="Q10" s="40">
        <v>10011.0</v>
      </c>
      <c r="R10" s="39" t="s">
        <v>137</v>
      </c>
      <c r="S10" s="39" t="s">
        <v>19</v>
      </c>
      <c r="T10" s="39" t="s">
        <v>236</v>
      </c>
      <c r="U10" s="39" t="s">
        <v>73</v>
      </c>
      <c r="V10" s="39" t="s">
        <v>195</v>
      </c>
      <c r="W10" s="41">
        <v>45832.0</v>
      </c>
      <c r="X10" s="40">
        <v>82.0</v>
      </c>
      <c r="Y10" s="39" t="s">
        <v>262</v>
      </c>
      <c r="Z10" s="41">
        <v>33829.0</v>
      </c>
      <c r="AA10" s="39" t="s">
        <v>263</v>
      </c>
      <c r="AB10" s="39" t="s">
        <v>225</v>
      </c>
      <c r="AC10" s="39" t="s">
        <v>211</v>
      </c>
      <c r="AD10" s="40">
        <v>109000.0</v>
      </c>
      <c r="AE10" s="40">
        <v>109000.0</v>
      </c>
      <c r="AF10" s="39" t="s">
        <v>144</v>
      </c>
      <c r="AG10" s="39" t="s">
        <v>145</v>
      </c>
      <c r="AH10" s="39" t="s">
        <v>264</v>
      </c>
      <c r="AI10" s="42" t="s">
        <v>265</v>
      </c>
      <c r="AJ10" s="42" t="s">
        <v>266</v>
      </c>
    </row>
    <row r="11" ht="15.75" customHeight="1">
      <c r="A11" s="40">
        <v>10.0</v>
      </c>
      <c r="B11" s="39" t="s">
        <v>267</v>
      </c>
      <c r="C11" s="39" t="s">
        <v>268</v>
      </c>
      <c r="D11" s="39" t="s">
        <v>269</v>
      </c>
      <c r="E11" s="39" t="s">
        <v>268</v>
      </c>
      <c r="F11" s="39" t="s">
        <v>270</v>
      </c>
      <c r="G11" s="39" t="s">
        <v>271</v>
      </c>
      <c r="H11" s="39" t="s">
        <v>272</v>
      </c>
      <c r="I11" s="39"/>
      <c r="J11" s="39" t="s">
        <v>273</v>
      </c>
      <c r="K11" s="40">
        <v>7713.0</v>
      </c>
      <c r="L11" s="39" t="s">
        <v>274</v>
      </c>
      <c r="M11" s="39" t="s">
        <v>275</v>
      </c>
      <c r="N11" s="39"/>
      <c r="O11" s="39" t="s">
        <v>276</v>
      </c>
      <c r="P11" s="39" t="s">
        <v>277</v>
      </c>
      <c r="Q11" s="40">
        <v>98115.0</v>
      </c>
      <c r="R11" s="39" t="s">
        <v>137</v>
      </c>
      <c r="S11" s="39" t="s">
        <v>19</v>
      </c>
      <c r="T11" s="39" t="s">
        <v>236</v>
      </c>
      <c r="U11" s="39" t="s">
        <v>68</v>
      </c>
      <c r="V11" s="39" t="s">
        <v>161</v>
      </c>
      <c r="W11" s="41">
        <v>45916.0</v>
      </c>
      <c r="X11" s="40">
        <v>97.0</v>
      </c>
      <c r="Y11" s="39" t="s">
        <v>278</v>
      </c>
      <c r="Z11" s="41">
        <v>34776.0</v>
      </c>
      <c r="AA11" s="39" t="s">
        <v>279</v>
      </c>
      <c r="AB11" s="39" t="s">
        <v>180</v>
      </c>
      <c r="AC11" s="39" t="s">
        <v>279</v>
      </c>
      <c r="AD11" s="40">
        <v>116000.0</v>
      </c>
      <c r="AE11" s="40">
        <v>116000.0</v>
      </c>
      <c r="AF11" s="39" t="s">
        <v>144</v>
      </c>
      <c r="AG11" s="39" t="s">
        <v>145</v>
      </c>
      <c r="AH11" s="39" t="s">
        <v>146</v>
      </c>
      <c r="AI11" s="42" t="s">
        <v>280</v>
      </c>
      <c r="AJ11" s="42" t="s">
        <v>281</v>
      </c>
    </row>
    <row r="12" ht="15.75" customHeight="1">
      <c r="A12" s="40">
        <v>11.0</v>
      </c>
      <c r="B12" s="39" t="s">
        <v>282</v>
      </c>
      <c r="C12" s="39" t="s">
        <v>283</v>
      </c>
      <c r="D12" s="39" t="s">
        <v>284</v>
      </c>
      <c r="E12" s="39" t="s">
        <v>283</v>
      </c>
      <c r="F12" s="39" t="s">
        <v>270</v>
      </c>
      <c r="G12" s="39" t="s">
        <v>285</v>
      </c>
      <c r="H12" s="39" t="s">
        <v>286</v>
      </c>
      <c r="I12" s="39"/>
      <c r="J12" s="39" t="s">
        <v>287</v>
      </c>
      <c r="K12" s="40">
        <v>1974.0</v>
      </c>
      <c r="L12" s="39" t="s">
        <v>288</v>
      </c>
      <c r="M12" s="39" t="s">
        <v>289</v>
      </c>
      <c r="N12" s="39"/>
      <c r="O12" s="39" t="s">
        <v>174</v>
      </c>
      <c r="P12" s="39" t="s">
        <v>175</v>
      </c>
      <c r="Q12" s="39" t="s">
        <v>290</v>
      </c>
      <c r="R12" s="39" t="s">
        <v>177</v>
      </c>
      <c r="S12" s="39" t="s">
        <v>19</v>
      </c>
      <c r="T12" s="39" t="s">
        <v>160</v>
      </c>
      <c r="U12" s="39" t="s">
        <v>72</v>
      </c>
      <c r="V12" s="39" t="s">
        <v>178</v>
      </c>
      <c r="W12" s="41">
        <v>45024.0</v>
      </c>
      <c r="X12" s="40">
        <v>204.0</v>
      </c>
      <c r="Y12" s="39" t="s">
        <v>291</v>
      </c>
      <c r="Z12" s="41">
        <v>33915.0</v>
      </c>
      <c r="AA12" s="39" t="s">
        <v>141</v>
      </c>
      <c r="AB12" s="39" t="s">
        <v>180</v>
      </c>
      <c r="AC12" s="39" t="s">
        <v>292</v>
      </c>
      <c r="AD12" s="40">
        <v>147000.0</v>
      </c>
      <c r="AE12" s="40">
        <v>147000.0</v>
      </c>
      <c r="AF12" s="39" t="s">
        <v>144</v>
      </c>
      <c r="AG12" s="39" t="s">
        <v>145</v>
      </c>
      <c r="AH12" s="39" t="s">
        <v>293</v>
      </c>
      <c r="AI12" s="42" t="s">
        <v>294</v>
      </c>
      <c r="AJ12" s="42" t="s">
        <v>295</v>
      </c>
    </row>
    <row r="13" ht="15.75" customHeight="1">
      <c r="A13" s="40">
        <v>12.0</v>
      </c>
      <c r="B13" s="39" t="s">
        <v>296</v>
      </c>
      <c r="C13" s="39" t="s">
        <v>297</v>
      </c>
      <c r="D13" s="39" t="s">
        <v>298</v>
      </c>
      <c r="E13" s="39" t="s">
        <v>297</v>
      </c>
      <c r="F13" s="39" t="s">
        <v>203</v>
      </c>
      <c r="G13" s="39" t="s">
        <v>299</v>
      </c>
      <c r="H13" s="39" t="s">
        <v>300</v>
      </c>
      <c r="I13" s="39"/>
      <c r="J13" s="39" t="s">
        <v>301</v>
      </c>
      <c r="K13" s="40">
        <v>2530.0</v>
      </c>
      <c r="L13" s="39" t="s">
        <v>302</v>
      </c>
      <c r="M13" s="39" t="s">
        <v>247</v>
      </c>
      <c r="N13" s="39" t="s">
        <v>248</v>
      </c>
      <c r="O13" s="39" t="s">
        <v>135</v>
      </c>
      <c r="P13" s="39" t="s">
        <v>136</v>
      </c>
      <c r="Q13" s="40">
        <v>94103.0</v>
      </c>
      <c r="R13" s="39" t="s">
        <v>137</v>
      </c>
      <c r="S13" s="39" t="s">
        <v>19</v>
      </c>
      <c r="T13" s="39" t="s">
        <v>138</v>
      </c>
      <c r="U13" s="39" t="s">
        <v>77</v>
      </c>
      <c r="V13" s="39" t="s">
        <v>139</v>
      </c>
      <c r="W13" s="41">
        <v>45471.0</v>
      </c>
      <c r="X13" s="40">
        <v>108.0</v>
      </c>
      <c r="Y13" s="39" t="s">
        <v>303</v>
      </c>
      <c r="Z13" s="41">
        <v>34152.0</v>
      </c>
      <c r="AA13" s="39" t="s">
        <v>163</v>
      </c>
      <c r="AB13" s="39" t="s">
        <v>304</v>
      </c>
      <c r="AC13" s="39" t="s">
        <v>197</v>
      </c>
      <c r="AD13" s="40">
        <v>166000.0</v>
      </c>
      <c r="AE13" s="40">
        <v>166000.0</v>
      </c>
      <c r="AF13" s="39" t="s">
        <v>144</v>
      </c>
      <c r="AG13" s="39" t="s">
        <v>145</v>
      </c>
      <c r="AH13" s="39" t="s">
        <v>146</v>
      </c>
      <c r="AI13" s="42" t="s">
        <v>305</v>
      </c>
      <c r="AJ13" s="42" t="s">
        <v>306</v>
      </c>
    </row>
    <row r="14" ht="15.75" customHeight="1">
      <c r="A14" s="40">
        <v>13.0</v>
      </c>
      <c r="B14" s="39" t="s">
        <v>307</v>
      </c>
      <c r="C14" s="39" t="s">
        <v>308</v>
      </c>
      <c r="D14" s="39" t="s">
        <v>309</v>
      </c>
      <c r="E14" s="39" t="s">
        <v>308</v>
      </c>
      <c r="F14" s="39" t="s">
        <v>152</v>
      </c>
      <c r="G14" s="39" t="s">
        <v>310</v>
      </c>
      <c r="H14" s="39" t="s">
        <v>311</v>
      </c>
      <c r="I14" s="39"/>
      <c r="J14" s="39" t="s">
        <v>312</v>
      </c>
      <c r="K14" s="40">
        <v>6390.0</v>
      </c>
      <c r="L14" s="39" t="s">
        <v>313</v>
      </c>
      <c r="M14" s="39" t="s">
        <v>314</v>
      </c>
      <c r="N14" s="39" t="s">
        <v>315</v>
      </c>
      <c r="O14" s="39" t="s">
        <v>193</v>
      </c>
      <c r="P14" s="39" t="s">
        <v>194</v>
      </c>
      <c r="Q14" s="40">
        <v>10007.0</v>
      </c>
      <c r="R14" s="39" t="s">
        <v>137</v>
      </c>
      <c r="S14" s="39" t="s">
        <v>19</v>
      </c>
      <c r="T14" s="39" t="s">
        <v>236</v>
      </c>
      <c r="U14" s="39" t="s">
        <v>73</v>
      </c>
      <c r="V14" s="39" t="s">
        <v>195</v>
      </c>
      <c r="W14" s="41">
        <v>45716.0</v>
      </c>
      <c r="X14" s="40">
        <v>111.0</v>
      </c>
      <c r="Y14" s="39" t="s">
        <v>316</v>
      </c>
      <c r="Z14" s="41">
        <v>33357.0</v>
      </c>
      <c r="AA14" s="39" t="s">
        <v>141</v>
      </c>
      <c r="AB14" s="39" t="s">
        <v>142</v>
      </c>
      <c r="AC14" s="39" t="s">
        <v>197</v>
      </c>
      <c r="AD14" s="40">
        <v>116000.0</v>
      </c>
      <c r="AE14" s="40">
        <v>116000.0</v>
      </c>
      <c r="AF14" s="39" t="s">
        <v>144</v>
      </c>
      <c r="AG14" s="39" t="s">
        <v>145</v>
      </c>
      <c r="AH14" s="39" t="s">
        <v>146</v>
      </c>
      <c r="AI14" s="42" t="s">
        <v>317</v>
      </c>
      <c r="AJ14" s="42" t="s">
        <v>318</v>
      </c>
    </row>
    <row r="15" ht="15.75" customHeight="1">
      <c r="A15" s="40">
        <v>14.0</v>
      </c>
      <c r="B15" s="39" t="s">
        <v>319</v>
      </c>
      <c r="C15" s="39" t="s">
        <v>320</v>
      </c>
      <c r="D15" s="39" t="s">
        <v>321</v>
      </c>
      <c r="E15" s="39" t="s">
        <v>320</v>
      </c>
      <c r="F15" s="39" t="s">
        <v>270</v>
      </c>
      <c r="G15" s="39" t="s">
        <v>322</v>
      </c>
      <c r="H15" s="39" t="s">
        <v>323</v>
      </c>
      <c r="I15" s="39"/>
      <c r="J15" s="39" t="s">
        <v>324</v>
      </c>
      <c r="K15" s="40">
        <v>533.0</v>
      </c>
      <c r="L15" s="39" t="s">
        <v>325</v>
      </c>
      <c r="M15" s="39" t="s">
        <v>247</v>
      </c>
      <c r="N15" s="39" t="s">
        <v>248</v>
      </c>
      <c r="O15" s="39" t="s">
        <v>135</v>
      </c>
      <c r="P15" s="39" t="s">
        <v>136</v>
      </c>
      <c r="Q15" s="40">
        <v>94103.0</v>
      </c>
      <c r="R15" s="39" t="s">
        <v>137</v>
      </c>
      <c r="S15" s="39" t="s">
        <v>19</v>
      </c>
      <c r="T15" s="39" t="s">
        <v>160</v>
      </c>
      <c r="U15" s="39" t="s">
        <v>77</v>
      </c>
      <c r="V15" s="39" t="s">
        <v>139</v>
      </c>
      <c r="W15" s="41">
        <v>44866.0</v>
      </c>
      <c r="X15" s="40">
        <v>46.0</v>
      </c>
      <c r="Y15" s="39" t="s">
        <v>326</v>
      </c>
      <c r="Z15" s="41">
        <v>35769.0</v>
      </c>
      <c r="AA15" s="39" t="s">
        <v>279</v>
      </c>
      <c r="AB15" s="39" t="s">
        <v>180</v>
      </c>
      <c r="AC15" s="39" t="s">
        <v>143</v>
      </c>
      <c r="AD15" s="40">
        <v>129000.0</v>
      </c>
      <c r="AE15" s="40">
        <v>129000.0</v>
      </c>
      <c r="AF15" s="39" t="s">
        <v>144</v>
      </c>
      <c r="AG15" s="39" t="s">
        <v>145</v>
      </c>
      <c r="AH15" s="39" t="s">
        <v>146</v>
      </c>
      <c r="AI15" s="42" t="s">
        <v>327</v>
      </c>
      <c r="AJ15" s="42" t="s">
        <v>328</v>
      </c>
    </row>
    <row r="16" ht="15.75" customHeight="1">
      <c r="A16" s="40">
        <v>15.0</v>
      </c>
      <c r="B16" s="39" t="s">
        <v>329</v>
      </c>
      <c r="C16" s="39" t="s">
        <v>330</v>
      </c>
      <c r="D16" s="39" t="s">
        <v>331</v>
      </c>
      <c r="E16" s="39" t="s">
        <v>330</v>
      </c>
      <c r="F16" s="39" t="s">
        <v>152</v>
      </c>
      <c r="G16" s="39" t="s">
        <v>332</v>
      </c>
      <c r="H16" s="39" t="s">
        <v>333</v>
      </c>
      <c r="I16" s="39"/>
      <c r="J16" s="39" t="s">
        <v>334</v>
      </c>
      <c r="K16" s="40">
        <v>4733.0</v>
      </c>
      <c r="L16" s="39" t="s">
        <v>335</v>
      </c>
      <c r="M16" s="39" t="s">
        <v>133</v>
      </c>
      <c r="N16" s="39" t="s">
        <v>134</v>
      </c>
      <c r="O16" s="39" t="s">
        <v>135</v>
      </c>
      <c r="P16" s="39" t="s">
        <v>136</v>
      </c>
      <c r="Q16" s="40">
        <v>94108.0</v>
      </c>
      <c r="R16" s="39" t="s">
        <v>137</v>
      </c>
      <c r="S16" s="39" t="s">
        <v>19</v>
      </c>
      <c r="T16" s="39" t="s">
        <v>138</v>
      </c>
      <c r="U16" s="39" t="s">
        <v>75</v>
      </c>
      <c r="V16" s="39" t="s">
        <v>139</v>
      </c>
      <c r="W16" s="41">
        <v>45141.0</v>
      </c>
      <c r="X16" s="40">
        <v>75.0</v>
      </c>
      <c r="Y16" s="39" t="s">
        <v>336</v>
      </c>
      <c r="Z16" s="41">
        <v>31910.0</v>
      </c>
      <c r="AA16" s="39" t="s">
        <v>279</v>
      </c>
      <c r="AB16" s="39" t="s">
        <v>142</v>
      </c>
      <c r="AC16" s="39" t="s">
        <v>143</v>
      </c>
      <c r="AD16" s="40">
        <v>173000.0</v>
      </c>
      <c r="AE16" s="40">
        <v>173000.0</v>
      </c>
      <c r="AF16" s="39" t="s">
        <v>144</v>
      </c>
      <c r="AG16" s="39" t="s">
        <v>145</v>
      </c>
      <c r="AH16" s="39" t="s">
        <v>293</v>
      </c>
      <c r="AI16" s="42" t="s">
        <v>337</v>
      </c>
      <c r="AJ16" s="42" t="s">
        <v>338</v>
      </c>
    </row>
    <row r="17" ht="15.75" customHeight="1">
      <c r="A17" s="40">
        <v>16.0</v>
      </c>
      <c r="B17" s="39" t="s">
        <v>339</v>
      </c>
      <c r="C17" s="39" t="s">
        <v>340</v>
      </c>
      <c r="D17" s="39" t="s">
        <v>341</v>
      </c>
      <c r="E17" s="39" t="s">
        <v>340</v>
      </c>
      <c r="F17" s="39" t="s">
        <v>255</v>
      </c>
      <c r="G17" s="39" t="s">
        <v>342</v>
      </c>
      <c r="H17" s="39" t="s">
        <v>343</v>
      </c>
      <c r="I17" s="39"/>
      <c r="J17" s="39" t="s">
        <v>344</v>
      </c>
      <c r="K17" s="40">
        <v>2011.0</v>
      </c>
      <c r="L17" s="39" t="s">
        <v>345</v>
      </c>
      <c r="M17" s="39" t="s">
        <v>346</v>
      </c>
      <c r="N17" s="39"/>
      <c r="O17" s="39" t="s">
        <v>174</v>
      </c>
      <c r="P17" s="39" t="s">
        <v>175</v>
      </c>
      <c r="Q17" s="39" t="s">
        <v>347</v>
      </c>
      <c r="R17" s="39" t="s">
        <v>177</v>
      </c>
      <c r="S17" s="39" t="s">
        <v>19</v>
      </c>
      <c r="T17" s="39" t="s">
        <v>160</v>
      </c>
      <c r="U17" s="39" t="s">
        <v>77</v>
      </c>
      <c r="V17" s="39" t="s">
        <v>178</v>
      </c>
      <c r="W17" s="41">
        <v>45056.0</v>
      </c>
      <c r="X17" s="40">
        <v>53.0</v>
      </c>
      <c r="Y17" s="39" t="s">
        <v>348</v>
      </c>
      <c r="Z17" s="41">
        <v>35432.0</v>
      </c>
      <c r="AA17" s="39" t="s">
        <v>141</v>
      </c>
      <c r="AB17" s="39" t="s">
        <v>180</v>
      </c>
      <c r="AC17" s="39" t="s">
        <v>197</v>
      </c>
      <c r="AD17" s="40">
        <v>117000.0</v>
      </c>
      <c r="AE17" s="40">
        <v>117000.0</v>
      </c>
      <c r="AF17" s="39" t="s">
        <v>144</v>
      </c>
      <c r="AG17" s="39" t="s">
        <v>145</v>
      </c>
      <c r="AH17" s="39" t="s">
        <v>146</v>
      </c>
      <c r="AI17" s="42" t="s">
        <v>349</v>
      </c>
      <c r="AJ17" s="42" t="s">
        <v>350</v>
      </c>
    </row>
    <row r="18" ht="15.75" customHeight="1">
      <c r="A18" s="40">
        <v>17.0</v>
      </c>
      <c r="B18" s="39" t="s">
        <v>351</v>
      </c>
      <c r="C18" s="39" t="s">
        <v>352</v>
      </c>
      <c r="D18" s="39" t="s">
        <v>353</v>
      </c>
      <c r="E18" s="39" t="s">
        <v>352</v>
      </c>
      <c r="F18" s="39" t="s">
        <v>217</v>
      </c>
      <c r="G18" s="39" t="s">
        <v>354</v>
      </c>
      <c r="H18" s="39" t="s">
        <v>355</v>
      </c>
      <c r="I18" s="39"/>
      <c r="J18" s="39" t="s">
        <v>356</v>
      </c>
      <c r="K18" s="40">
        <v>2283.0</v>
      </c>
      <c r="L18" s="39" t="s">
        <v>357</v>
      </c>
      <c r="M18" s="39" t="s">
        <v>133</v>
      </c>
      <c r="N18" s="39" t="s">
        <v>134</v>
      </c>
      <c r="O18" s="39" t="s">
        <v>135</v>
      </c>
      <c r="P18" s="39" t="s">
        <v>136</v>
      </c>
      <c r="Q18" s="40">
        <v>94108.0</v>
      </c>
      <c r="R18" s="39" t="s">
        <v>137</v>
      </c>
      <c r="S18" s="39" t="s">
        <v>19</v>
      </c>
      <c r="T18" s="39" t="s">
        <v>160</v>
      </c>
      <c r="U18" s="39" t="s">
        <v>76</v>
      </c>
      <c r="V18" s="39" t="s">
        <v>139</v>
      </c>
      <c r="W18" s="41">
        <v>45785.0</v>
      </c>
      <c r="X18" s="40">
        <v>54.0</v>
      </c>
      <c r="Y18" s="39" t="s">
        <v>358</v>
      </c>
      <c r="Z18" s="41">
        <v>31782.0</v>
      </c>
      <c r="AA18" s="39" t="s">
        <v>163</v>
      </c>
      <c r="AB18" s="39" t="s">
        <v>142</v>
      </c>
      <c r="AC18" s="39" t="s">
        <v>211</v>
      </c>
      <c r="AD18" s="40">
        <v>205000.0</v>
      </c>
      <c r="AE18" s="40">
        <v>205000.0</v>
      </c>
      <c r="AF18" s="39" t="s">
        <v>144</v>
      </c>
      <c r="AG18" s="39" t="s">
        <v>145</v>
      </c>
      <c r="AH18" s="39" t="s">
        <v>146</v>
      </c>
      <c r="AI18" s="42" t="s">
        <v>359</v>
      </c>
      <c r="AJ18" s="42" t="s">
        <v>360</v>
      </c>
    </row>
    <row r="19" ht="15.75" customHeight="1">
      <c r="A19" s="40">
        <v>18.0</v>
      </c>
      <c r="B19" s="39" t="s">
        <v>361</v>
      </c>
      <c r="C19" s="39" t="s">
        <v>362</v>
      </c>
      <c r="D19" s="39" t="s">
        <v>363</v>
      </c>
      <c r="E19" s="39" t="s">
        <v>362</v>
      </c>
      <c r="F19" s="39" t="s">
        <v>186</v>
      </c>
      <c r="G19" s="39" t="s">
        <v>364</v>
      </c>
      <c r="H19" s="39" t="s">
        <v>365</v>
      </c>
      <c r="I19" s="39"/>
      <c r="J19" s="39" t="s">
        <v>366</v>
      </c>
      <c r="K19" s="40">
        <v>3442.0</v>
      </c>
      <c r="L19" s="39" t="s">
        <v>367</v>
      </c>
      <c r="M19" s="39" t="s">
        <v>314</v>
      </c>
      <c r="N19" s="39" t="s">
        <v>315</v>
      </c>
      <c r="O19" s="39" t="s">
        <v>193</v>
      </c>
      <c r="P19" s="39" t="s">
        <v>194</v>
      </c>
      <c r="Q19" s="40">
        <v>10007.0</v>
      </c>
      <c r="R19" s="39" t="s">
        <v>137</v>
      </c>
      <c r="S19" s="39" t="s">
        <v>19</v>
      </c>
      <c r="T19" s="39" t="s">
        <v>236</v>
      </c>
      <c r="U19" s="39" t="s">
        <v>70</v>
      </c>
      <c r="V19" s="39" t="s">
        <v>195</v>
      </c>
      <c r="W19" s="41">
        <v>44907.0</v>
      </c>
      <c r="X19" s="40">
        <v>61.0</v>
      </c>
      <c r="Y19" s="39" t="s">
        <v>368</v>
      </c>
      <c r="Z19" s="41">
        <v>36024.0</v>
      </c>
      <c r="AA19" s="39" t="s">
        <v>279</v>
      </c>
      <c r="AB19" s="39" t="s">
        <v>225</v>
      </c>
      <c r="AC19" s="39" t="s">
        <v>197</v>
      </c>
      <c r="AD19" s="40">
        <v>133000.0</v>
      </c>
      <c r="AE19" s="40">
        <v>133000.0</v>
      </c>
      <c r="AF19" s="39" t="s">
        <v>144</v>
      </c>
      <c r="AG19" s="39" t="s">
        <v>145</v>
      </c>
      <c r="AH19" s="39" t="s">
        <v>293</v>
      </c>
      <c r="AI19" s="42" t="s">
        <v>369</v>
      </c>
      <c r="AJ19" s="42" t="s">
        <v>370</v>
      </c>
    </row>
    <row r="20" ht="15.75" customHeight="1">
      <c r="A20" s="40">
        <v>19.0</v>
      </c>
      <c r="B20" s="39" t="s">
        <v>371</v>
      </c>
      <c r="C20" s="39" t="s">
        <v>372</v>
      </c>
      <c r="D20" s="39" t="s">
        <v>373</v>
      </c>
      <c r="E20" s="39" t="s">
        <v>372</v>
      </c>
      <c r="F20" s="39" t="s">
        <v>374</v>
      </c>
      <c r="G20" s="39" t="s">
        <v>375</v>
      </c>
      <c r="H20" s="39" t="s">
        <v>376</v>
      </c>
      <c r="I20" s="39"/>
      <c r="J20" s="39" t="s">
        <v>377</v>
      </c>
      <c r="K20" s="40">
        <v>6833.0</v>
      </c>
      <c r="L20" s="39" t="s">
        <v>378</v>
      </c>
      <c r="M20" s="39" t="s">
        <v>379</v>
      </c>
      <c r="N20" s="39" t="s">
        <v>380</v>
      </c>
      <c r="O20" s="39" t="s">
        <v>193</v>
      </c>
      <c r="P20" s="39" t="s">
        <v>194</v>
      </c>
      <c r="Q20" s="40">
        <v>10036.0</v>
      </c>
      <c r="R20" s="39" t="s">
        <v>137</v>
      </c>
      <c r="S20" s="39" t="s">
        <v>19</v>
      </c>
      <c r="T20" s="39" t="s">
        <v>236</v>
      </c>
      <c r="U20" s="39" t="s">
        <v>77</v>
      </c>
      <c r="V20" s="39" t="s">
        <v>195</v>
      </c>
      <c r="W20" s="41">
        <v>45460.0</v>
      </c>
      <c r="X20" s="40">
        <v>130.0</v>
      </c>
      <c r="Y20" s="39" t="s">
        <v>381</v>
      </c>
      <c r="Z20" s="41">
        <v>31557.0</v>
      </c>
      <c r="AA20" s="39" t="s">
        <v>141</v>
      </c>
      <c r="AB20" s="39" t="s">
        <v>142</v>
      </c>
      <c r="AC20" s="39" t="s">
        <v>211</v>
      </c>
      <c r="AD20" s="40">
        <v>160000.0</v>
      </c>
      <c r="AE20" s="40">
        <v>160000.0</v>
      </c>
      <c r="AF20" s="39" t="s">
        <v>144</v>
      </c>
      <c r="AG20" s="39" t="s">
        <v>145</v>
      </c>
      <c r="AH20" s="39" t="s">
        <v>146</v>
      </c>
      <c r="AI20" s="42" t="s">
        <v>382</v>
      </c>
      <c r="AJ20" s="42" t="s">
        <v>383</v>
      </c>
    </row>
    <row r="21" ht="15.75" customHeight="1">
      <c r="A21" s="40">
        <v>20.0</v>
      </c>
      <c r="B21" s="39" t="s">
        <v>384</v>
      </c>
      <c r="C21" s="39" t="s">
        <v>385</v>
      </c>
      <c r="D21" s="39" t="s">
        <v>386</v>
      </c>
      <c r="E21" s="39" t="s">
        <v>385</v>
      </c>
      <c r="F21" s="39" t="s">
        <v>152</v>
      </c>
      <c r="G21" s="39" t="s">
        <v>387</v>
      </c>
      <c r="H21" s="39" t="s">
        <v>388</v>
      </c>
      <c r="I21" s="39"/>
      <c r="J21" s="39" t="s">
        <v>389</v>
      </c>
      <c r="K21" s="40">
        <v>2349.0</v>
      </c>
      <c r="L21" s="39" t="s">
        <v>390</v>
      </c>
      <c r="M21" s="39" t="s">
        <v>222</v>
      </c>
      <c r="N21" s="39" t="s">
        <v>223</v>
      </c>
      <c r="O21" s="39" t="s">
        <v>135</v>
      </c>
      <c r="P21" s="39" t="s">
        <v>136</v>
      </c>
      <c r="Q21" s="40">
        <v>94104.0</v>
      </c>
      <c r="R21" s="39" t="s">
        <v>137</v>
      </c>
      <c r="S21" s="39" t="s">
        <v>19</v>
      </c>
      <c r="T21" s="39" t="s">
        <v>138</v>
      </c>
      <c r="U21" s="39" t="s">
        <v>73</v>
      </c>
      <c r="V21" s="39" t="s">
        <v>139</v>
      </c>
      <c r="W21" s="41">
        <v>45886.0</v>
      </c>
      <c r="X21" s="40">
        <v>172.0</v>
      </c>
      <c r="Y21" s="39" t="s">
        <v>391</v>
      </c>
      <c r="Z21" s="41">
        <v>31332.0</v>
      </c>
      <c r="AA21" s="39" t="s">
        <v>141</v>
      </c>
      <c r="AB21" s="39" t="s">
        <v>225</v>
      </c>
      <c r="AC21" s="39" t="s">
        <v>143</v>
      </c>
      <c r="AD21" s="40">
        <v>148000.0</v>
      </c>
      <c r="AE21" s="40">
        <v>148000.0</v>
      </c>
      <c r="AF21" s="39" t="s">
        <v>144</v>
      </c>
      <c r="AG21" s="39" t="s">
        <v>145</v>
      </c>
      <c r="AH21" s="39" t="s">
        <v>146</v>
      </c>
      <c r="AI21" s="42" t="s">
        <v>392</v>
      </c>
      <c r="AJ21" s="42" t="s">
        <v>393</v>
      </c>
    </row>
    <row r="22" ht="15.75" customHeight="1">
      <c r="A22" s="40">
        <v>21.0</v>
      </c>
      <c r="B22" s="39" t="s">
        <v>394</v>
      </c>
      <c r="C22" s="39" t="s">
        <v>395</v>
      </c>
      <c r="D22" s="39" t="s">
        <v>396</v>
      </c>
      <c r="E22" s="39" t="s">
        <v>395</v>
      </c>
      <c r="F22" s="39" t="s">
        <v>217</v>
      </c>
      <c r="G22" s="39" t="s">
        <v>397</v>
      </c>
      <c r="H22" s="39" t="s">
        <v>398</v>
      </c>
      <c r="I22" s="39"/>
      <c r="J22" s="39" t="s">
        <v>399</v>
      </c>
      <c r="K22" s="40">
        <v>4572.0</v>
      </c>
      <c r="L22" s="39" t="s">
        <v>400</v>
      </c>
      <c r="M22" s="39" t="s">
        <v>222</v>
      </c>
      <c r="N22" s="39" t="s">
        <v>223</v>
      </c>
      <c r="O22" s="39" t="s">
        <v>135</v>
      </c>
      <c r="P22" s="39" t="s">
        <v>136</v>
      </c>
      <c r="Q22" s="40">
        <v>94104.0</v>
      </c>
      <c r="R22" s="39" t="s">
        <v>137</v>
      </c>
      <c r="S22" s="39" t="s">
        <v>19</v>
      </c>
      <c r="T22" s="39" t="s">
        <v>138</v>
      </c>
      <c r="U22" s="39" t="s">
        <v>68</v>
      </c>
      <c r="V22" s="39" t="s">
        <v>139</v>
      </c>
      <c r="W22" s="41">
        <v>45207.0</v>
      </c>
      <c r="X22" s="40">
        <v>173.0</v>
      </c>
      <c r="Y22" s="39" t="s">
        <v>401</v>
      </c>
      <c r="Z22" s="41">
        <v>34223.0</v>
      </c>
      <c r="AA22" s="39" t="s">
        <v>163</v>
      </c>
      <c r="AB22" s="39" t="s">
        <v>180</v>
      </c>
      <c r="AC22" s="39" t="s">
        <v>279</v>
      </c>
      <c r="AD22" s="40">
        <v>124000.0</v>
      </c>
      <c r="AE22" s="40">
        <v>124000.0</v>
      </c>
      <c r="AF22" s="39" t="s">
        <v>144</v>
      </c>
      <c r="AG22" s="39" t="s">
        <v>145</v>
      </c>
      <c r="AH22" s="39" t="s">
        <v>293</v>
      </c>
      <c r="AI22" s="42" t="s">
        <v>402</v>
      </c>
      <c r="AJ22" s="42" t="s">
        <v>403</v>
      </c>
    </row>
    <row r="23" ht="15.75" customHeight="1">
      <c r="A23" s="40">
        <v>22.0</v>
      </c>
      <c r="B23" s="39" t="s">
        <v>404</v>
      </c>
      <c r="C23" s="39" t="s">
        <v>405</v>
      </c>
      <c r="D23" s="39" t="s">
        <v>406</v>
      </c>
      <c r="E23" s="39" t="s">
        <v>405</v>
      </c>
      <c r="F23" s="39" t="s">
        <v>270</v>
      </c>
      <c r="G23" s="39" t="s">
        <v>407</v>
      </c>
      <c r="H23" s="39" t="s">
        <v>408</v>
      </c>
      <c r="I23" s="39"/>
      <c r="J23" s="39" t="s">
        <v>409</v>
      </c>
      <c r="K23" s="40">
        <v>2203.0</v>
      </c>
      <c r="L23" s="39" t="s">
        <v>410</v>
      </c>
      <c r="M23" s="39" t="s">
        <v>222</v>
      </c>
      <c r="N23" s="39" t="s">
        <v>223</v>
      </c>
      <c r="O23" s="39" t="s">
        <v>135</v>
      </c>
      <c r="P23" s="39" t="s">
        <v>136</v>
      </c>
      <c r="Q23" s="40">
        <v>94104.0</v>
      </c>
      <c r="R23" s="39" t="s">
        <v>137</v>
      </c>
      <c r="S23" s="39" t="s">
        <v>19</v>
      </c>
      <c r="T23" s="39" t="s">
        <v>138</v>
      </c>
      <c r="U23" s="39" t="s">
        <v>68</v>
      </c>
      <c r="V23" s="39" t="s">
        <v>139</v>
      </c>
      <c r="W23" s="41">
        <v>44796.0</v>
      </c>
      <c r="X23" s="40">
        <v>205.0</v>
      </c>
      <c r="Y23" s="39" t="s">
        <v>411</v>
      </c>
      <c r="Z23" s="41">
        <v>36068.0</v>
      </c>
      <c r="AA23" s="39" t="s">
        <v>141</v>
      </c>
      <c r="AB23" s="39" t="s">
        <v>180</v>
      </c>
      <c r="AC23" s="39" t="s">
        <v>197</v>
      </c>
      <c r="AD23" s="40">
        <v>108000.0</v>
      </c>
      <c r="AE23" s="40">
        <v>108000.0</v>
      </c>
      <c r="AF23" s="39" t="s">
        <v>144</v>
      </c>
      <c r="AG23" s="39" t="s">
        <v>145</v>
      </c>
      <c r="AH23" s="39" t="s">
        <v>293</v>
      </c>
      <c r="AI23" s="42" t="s">
        <v>412</v>
      </c>
      <c r="AJ23" s="42" t="s">
        <v>413</v>
      </c>
    </row>
    <row r="24" ht="15.75" customHeight="1">
      <c r="A24" s="40">
        <v>23.0</v>
      </c>
      <c r="B24" s="39" t="s">
        <v>414</v>
      </c>
      <c r="C24" s="39" t="s">
        <v>415</v>
      </c>
      <c r="D24" s="39" t="s">
        <v>416</v>
      </c>
      <c r="E24" s="39" t="s">
        <v>415</v>
      </c>
      <c r="F24" s="39" t="s">
        <v>231</v>
      </c>
      <c r="G24" s="39" t="s">
        <v>417</v>
      </c>
      <c r="H24" s="39" t="s">
        <v>418</v>
      </c>
      <c r="I24" s="39"/>
      <c r="J24" s="39" t="s">
        <v>419</v>
      </c>
      <c r="K24" s="40">
        <v>4422.0</v>
      </c>
      <c r="L24" s="39" t="s">
        <v>420</v>
      </c>
      <c r="M24" s="39" t="s">
        <v>133</v>
      </c>
      <c r="N24" s="39" t="s">
        <v>134</v>
      </c>
      <c r="O24" s="39" t="s">
        <v>135</v>
      </c>
      <c r="P24" s="39" t="s">
        <v>136</v>
      </c>
      <c r="Q24" s="40">
        <v>94108.0</v>
      </c>
      <c r="R24" s="39" t="s">
        <v>137</v>
      </c>
      <c r="S24" s="39" t="s">
        <v>19</v>
      </c>
      <c r="T24" s="39" t="s">
        <v>236</v>
      </c>
      <c r="U24" s="39" t="s">
        <v>72</v>
      </c>
      <c r="V24" s="39" t="s">
        <v>139</v>
      </c>
      <c r="W24" s="41">
        <v>45805.0</v>
      </c>
      <c r="X24" s="40">
        <v>161.0</v>
      </c>
      <c r="Y24" s="39" t="s">
        <v>421</v>
      </c>
      <c r="Z24" s="41">
        <v>33273.0</v>
      </c>
      <c r="AA24" s="39" t="s">
        <v>279</v>
      </c>
      <c r="AB24" s="39" t="s">
        <v>142</v>
      </c>
      <c r="AC24" s="39" t="s">
        <v>197</v>
      </c>
      <c r="AD24" s="40">
        <v>135000.0</v>
      </c>
      <c r="AE24" s="40">
        <v>135000.0</v>
      </c>
      <c r="AF24" s="39" t="s">
        <v>144</v>
      </c>
      <c r="AG24" s="39" t="s">
        <v>145</v>
      </c>
      <c r="AH24" s="39" t="s">
        <v>146</v>
      </c>
      <c r="AI24" s="42" t="s">
        <v>422</v>
      </c>
      <c r="AJ24" s="42" t="s">
        <v>423</v>
      </c>
    </row>
    <row r="25" ht="15.75" customHeight="1">
      <c r="A25" s="40">
        <v>24.0</v>
      </c>
      <c r="B25" s="39" t="s">
        <v>424</v>
      </c>
      <c r="C25" s="39" t="s">
        <v>425</v>
      </c>
      <c r="D25" s="39" t="s">
        <v>426</v>
      </c>
      <c r="E25" s="39" t="s">
        <v>425</v>
      </c>
      <c r="F25" s="39" t="s">
        <v>427</v>
      </c>
      <c r="G25" s="39" t="s">
        <v>428</v>
      </c>
      <c r="H25" s="39" t="s">
        <v>429</v>
      </c>
      <c r="I25" s="39"/>
      <c r="J25" s="39" t="s">
        <v>430</v>
      </c>
      <c r="K25" s="40">
        <v>6324.0</v>
      </c>
      <c r="L25" s="39" t="s">
        <v>431</v>
      </c>
      <c r="M25" s="39" t="s">
        <v>208</v>
      </c>
      <c r="N25" s="39" t="s">
        <v>209</v>
      </c>
      <c r="O25" s="39" t="s">
        <v>135</v>
      </c>
      <c r="P25" s="39" t="s">
        <v>136</v>
      </c>
      <c r="Q25" s="40">
        <v>94105.0</v>
      </c>
      <c r="R25" s="39" t="s">
        <v>137</v>
      </c>
      <c r="S25" s="39" t="s">
        <v>19</v>
      </c>
      <c r="T25" s="39" t="s">
        <v>138</v>
      </c>
      <c r="U25" s="39" t="s">
        <v>68</v>
      </c>
      <c r="V25" s="39" t="s">
        <v>139</v>
      </c>
      <c r="W25" s="41">
        <v>45394.0</v>
      </c>
      <c r="X25" s="40">
        <v>206.0</v>
      </c>
      <c r="Y25" s="39" t="s">
        <v>432</v>
      </c>
      <c r="Z25" s="41">
        <v>32881.0</v>
      </c>
      <c r="AA25" s="39" t="s">
        <v>141</v>
      </c>
      <c r="AB25" s="39" t="s">
        <v>180</v>
      </c>
      <c r="AC25" s="39" t="s">
        <v>181</v>
      </c>
      <c r="AD25" s="40">
        <v>134000.0</v>
      </c>
      <c r="AE25" s="40">
        <v>134000.0</v>
      </c>
      <c r="AF25" s="39" t="s">
        <v>144</v>
      </c>
      <c r="AG25" s="39" t="s">
        <v>145</v>
      </c>
      <c r="AH25" s="39" t="s">
        <v>293</v>
      </c>
      <c r="AI25" s="42" t="s">
        <v>433</v>
      </c>
      <c r="AJ25" s="42" t="s">
        <v>434</v>
      </c>
    </row>
    <row r="26" ht="15.75" customHeight="1">
      <c r="A26" s="40">
        <v>25.0</v>
      </c>
      <c r="B26" s="39" t="s">
        <v>435</v>
      </c>
      <c r="C26" s="39" t="s">
        <v>436</v>
      </c>
      <c r="D26" s="39" t="s">
        <v>437</v>
      </c>
      <c r="E26" s="39" t="s">
        <v>436</v>
      </c>
      <c r="F26" s="39" t="s">
        <v>186</v>
      </c>
      <c r="G26" s="39" t="s">
        <v>438</v>
      </c>
      <c r="H26" s="39" t="s">
        <v>439</v>
      </c>
      <c r="I26" s="39"/>
      <c r="J26" s="39" t="s">
        <v>440</v>
      </c>
      <c r="K26" s="40">
        <v>7956.0</v>
      </c>
      <c r="L26" s="39" t="s">
        <v>441</v>
      </c>
      <c r="M26" s="39" t="s">
        <v>247</v>
      </c>
      <c r="N26" s="39" t="s">
        <v>248</v>
      </c>
      <c r="O26" s="39" t="s">
        <v>135</v>
      </c>
      <c r="P26" s="39" t="s">
        <v>136</v>
      </c>
      <c r="Q26" s="40">
        <v>94103.0</v>
      </c>
      <c r="R26" s="39" t="s">
        <v>137</v>
      </c>
      <c r="S26" s="39" t="s">
        <v>19</v>
      </c>
      <c r="T26" s="39" t="s">
        <v>138</v>
      </c>
      <c r="U26" s="39" t="s">
        <v>70</v>
      </c>
      <c r="V26" s="39" t="s">
        <v>139</v>
      </c>
      <c r="W26" s="41">
        <v>45565.0</v>
      </c>
      <c r="X26" s="40">
        <v>83.0</v>
      </c>
      <c r="Y26" s="39" t="s">
        <v>442</v>
      </c>
      <c r="Z26" s="41">
        <v>31758.0</v>
      </c>
      <c r="AA26" s="39" t="s">
        <v>141</v>
      </c>
      <c r="AB26" s="39" t="s">
        <v>142</v>
      </c>
      <c r="AC26" s="39" t="s">
        <v>197</v>
      </c>
      <c r="AD26" s="40">
        <v>122000.0</v>
      </c>
      <c r="AE26" s="40">
        <v>122000.0</v>
      </c>
      <c r="AF26" s="39" t="s">
        <v>144</v>
      </c>
      <c r="AG26" s="39" t="s">
        <v>145</v>
      </c>
      <c r="AH26" s="39" t="s">
        <v>146</v>
      </c>
      <c r="AI26" s="42" t="s">
        <v>443</v>
      </c>
      <c r="AJ26" s="42" t="s">
        <v>444</v>
      </c>
    </row>
    <row r="27" ht="15.75" customHeight="1">
      <c r="A27" s="40">
        <v>26.0</v>
      </c>
      <c r="B27" s="39" t="s">
        <v>445</v>
      </c>
      <c r="C27" s="39" t="s">
        <v>446</v>
      </c>
      <c r="D27" s="39" t="s">
        <v>447</v>
      </c>
      <c r="E27" s="39" t="s">
        <v>446</v>
      </c>
      <c r="F27" s="39" t="s">
        <v>203</v>
      </c>
      <c r="G27" s="39" t="s">
        <v>448</v>
      </c>
      <c r="H27" s="39" t="s">
        <v>449</v>
      </c>
      <c r="I27" s="39"/>
      <c r="J27" s="39" t="s">
        <v>450</v>
      </c>
      <c r="K27" s="40">
        <v>7923.0</v>
      </c>
      <c r="L27" s="39" t="s">
        <v>451</v>
      </c>
      <c r="M27" s="39" t="s">
        <v>275</v>
      </c>
      <c r="N27" s="39"/>
      <c r="O27" s="39" t="s">
        <v>276</v>
      </c>
      <c r="P27" s="39" t="s">
        <v>277</v>
      </c>
      <c r="Q27" s="40">
        <v>98115.0</v>
      </c>
      <c r="R27" s="39" t="s">
        <v>137</v>
      </c>
      <c r="S27" s="39" t="s">
        <v>19</v>
      </c>
      <c r="T27" s="39" t="s">
        <v>160</v>
      </c>
      <c r="U27" s="39" t="s">
        <v>77</v>
      </c>
      <c r="V27" s="39" t="s">
        <v>161</v>
      </c>
      <c r="W27" s="41">
        <v>44663.0</v>
      </c>
      <c r="X27" s="40">
        <v>54.0</v>
      </c>
      <c r="Y27" s="39" t="s">
        <v>452</v>
      </c>
      <c r="Z27" s="41">
        <v>37541.0</v>
      </c>
      <c r="AA27" s="39" t="s">
        <v>163</v>
      </c>
      <c r="AB27" s="39" t="s">
        <v>225</v>
      </c>
      <c r="AC27" s="39" t="s">
        <v>197</v>
      </c>
      <c r="AD27" s="40">
        <v>116000.0</v>
      </c>
      <c r="AE27" s="40">
        <v>116000.0</v>
      </c>
      <c r="AF27" s="39" t="s">
        <v>144</v>
      </c>
      <c r="AG27" s="39" t="s">
        <v>145</v>
      </c>
      <c r="AH27" s="39" t="s">
        <v>293</v>
      </c>
      <c r="AI27" s="42" t="s">
        <v>453</v>
      </c>
      <c r="AJ27" s="42" t="s">
        <v>454</v>
      </c>
    </row>
    <row r="28" ht="15.75" customHeight="1">
      <c r="A28" s="40">
        <v>27.0</v>
      </c>
      <c r="B28" s="39" t="s">
        <v>455</v>
      </c>
      <c r="C28" s="39" t="s">
        <v>456</v>
      </c>
      <c r="D28" s="39" t="s">
        <v>457</v>
      </c>
      <c r="E28" s="39" t="s">
        <v>456</v>
      </c>
      <c r="F28" s="39" t="s">
        <v>217</v>
      </c>
      <c r="G28" s="39" t="s">
        <v>458</v>
      </c>
      <c r="H28" s="39" t="s">
        <v>459</v>
      </c>
      <c r="I28" s="39"/>
      <c r="J28" s="39" t="s">
        <v>460</v>
      </c>
      <c r="K28" s="40">
        <v>8554.0</v>
      </c>
      <c r="L28" s="39" t="s">
        <v>461</v>
      </c>
      <c r="M28" s="39" t="s">
        <v>208</v>
      </c>
      <c r="N28" s="39" t="s">
        <v>209</v>
      </c>
      <c r="O28" s="39" t="s">
        <v>135</v>
      </c>
      <c r="P28" s="39" t="s">
        <v>136</v>
      </c>
      <c r="Q28" s="40">
        <v>94105.0</v>
      </c>
      <c r="R28" s="39" t="s">
        <v>137</v>
      </c>
      <c r="S28" s="39" t="s">
        <v>19</v>
      </c>
      <c r="T28" s="39" t="s">
        <v>236</v>
      </c>
      <c r="U28" s="39" t="s">
        <v>71</v>
      </c>
      <c r="V28" s="39" t="s">
        <v>139</v>
      </c>
      <c r="W28" s="41">
        <v>45725.0</v>
      </c>
      <c r="X28" s="40">
        <v>225.0</v>
      </c>
      <c r="Y28" s="39" t="s">
        <v>462</v>
      </c>
      <c r="Z28" s="41">
        <v>35573.0</v>
      </c>
      <c r="AA28" s="39" t="s">
        <v>141</v>
      </c>
      <c r="AB28" s="39" t="s">
        <v>142</v>
      </c>
      <c r="AC28" s="39" t="s">
        <v>181</v>
      </c>
      <c r="AD28" s="40">
        <v>164000.0</v>
      </c>
      <c r="AE28" s="40">
        <v>164000.0</v>
      </c>
      <c r="AF28" s="39" t="s">
        <v>144</v>
      </c>
      <c r="AG28" s="39" t="s">
        <v>145</v>
      </c>
      <c r="AH28" s="39" t="s">
        <v>293</v>
      </c>
      <c r="AI28" s="42" t="s">
        <v>463</v>
      </c>
      <c r="AJ28" s="42" t="s">
        <v>464</v>
      </c>
    </row>
    <row r="29" ht="15.75" customHeight="1">
      <c r="A29" s="40">
        <v>28.0</v>
      </c>
      <c r="B29" s="39" t="s">
        <v>465</v>
      </c>
      <c r="C29" s="39" t="s">
        <v>466</v>
      </c>
      <c r="D29" s="39" t="s">
        <v>467</v>
      </c>
      <c r="E29" s="39" t="s">
        <v>466</v>
      </c>
      <c r="F29" s="39" t="s">
        <v>270</v>
      </c>
      <c r="G29" s="39" t="s">
        <v>468</v>
      </c>
      <c r="H29" s="39" t="s">
        <v>469</v>
      </c>
      <c r="I29" s="39"/>
      <c r="J29" s="39" t="s">
        <v>470</v>
      </c>
      <c r="K29" s="40">
        <v>4408.0</v>
      </c>
      <c r="L29" s="39" t="s">
        <v>471</v>
      </c>
      <c r="M29" s="39" t="s">
        <v>173</v>
      </c>
      <c r="N29" s="39"/>
      <c r="O29" s="39" t="s">
        <v>174</v>
      </c>
      <c r="P29" s="39" t="s">
        <v>175</v>
      </c>
      <c r="Q29" s="39" t="s">
        <v>176</v>
      </c>
      <c r="R29" s="39" t="s">
        <v>177</v>
      </c>
      <c r="S29" s="39" t="s">
        <v>19</v>
      </c>
      <c r="T29" s="39" t="s">
        <v>236</v>
      </c>
      <c r="U29" s="39" t="s">
        <v>76</v>
      </c>
      <c r="V29" s="39" t="s">
        <v>178</v>
      </c>
      <c r="W29" s="41">
        <v>45605.0</v>
      </c>
      <c r="X29" s="40">
        <v>77.0</v>
      </c>
      <c r="Y29" s="39" t="s">
        <v>472</v>
      </c>
      <c r="Z29" s="41">
        <v>32903.0</v>
      </c>
      <c r="AA29" s="39" t="s">
        <v>141</v>
      </c>
      <c r="AB29" s="39" t="s">
        <v>142</v>
      </c>
      <c r="AC29" s="39" t="s">
        <v>197</v>
      </c>
      <c r="AD29" s="40">
        <v>205000.0</v>
      </c>
      <c r="AE29" s="40">
        <v>205000.0</v>
      </c>
      <c r="AF29" s="39" t="s">
        <v>144</v>
      </c>
      <c r="AG29" s="39" t="s">
        <v>145</v>
      </c>
      <c r="AH29" s="39" t="s">
        <v>293</v>
      </c>
      <c r="AI29" s="42" t="s">
        <v>473</v>
      </c>
      <c r="AJ29" s="42" t="s">
        <v>474</v>
      </c>
    </row>
    <row r="30" ht="15.75" customHeight="1">
      <c r="A30" s="40">
        <v>29.0</v>
      </c>
      <c r="B30" s="39" t="s">
        <v>475</v>
      </c>
      <c r="C30" s="39" t="s">
        <v>476</v>
      </c>
      <c r="D30" s="39" t="s">
        <v>477</v>
      </c>
      <c r="E30" s="39" t="s">
        <v>476</v>
      </c>
      <c r="F30" s="39" t="s">
        <v>217</v>
      </c>
      <c r="G30" s="39" t="s">
        <v>478</v>
      </c>
      <c r="H30" s="39" t="s">
        <v>479</v>
      </c>
      <c r="I30" s="39"/>
      <c r="J30" s="39" t="s">
        <v>480</v>
      </c>
      <c r="K30" s="40">
        <v>9023.0</v>
      </c>
      <c r="L30" s="39" t="s">
        <v>481</v>
      </c>
      <c r="M30" s="39" t="s">
        <v>157</v>
      </c>
      <c r="N30" s="39"/>
      <c r="O30" s="39" t="s">
        <v>158</v>
      </c>
      <c r="P30" s="39" t="s">
        <v>159</v>
      </c>
      <c r="Q30" s="40">
        <v>80202.0</v>
      </c>
      <c r="R30" s="39" t="s">
        <v>137</v>
      </c>
      <c r="S30" s="39" t="s">
        <v>19</v>
      </c>
      <c r="T30" s="39" t="s">
        <v>160</v>
      </c>
      <c r="U30" s="39" t="s">
        <v>73</v>
      </c>
      <c r="V30" s="39" t="s">
        <v>161</v>
      </c>
      <c r="W30" s="41">
        <v>44987.0</v>
      </c>
      <c r="X30" s="40">
        <v>56.0</v>
      </c>
      <c r="Y30" s="39" t="s">
        <v>482</v>
      </c>
      <c r="Z30" s="41">
        <v>34713.0</v>
      </c>
      <c r="AA30" s="39" t="s">
        <v>141</v>
      </c>
      <c r="AB30" s="39" t="s">
        <v>180</v>
      </c>
      <c r="AC30" s="39" t="s">
        <v>181</v>
      </c>
      <c r="AD30" s="40">
        <v>167000.0</v>
      </c>
      <c r="AE30" s="40">
        <v>167000.0</v>
      </c>
      <c r="AF30" s="39" t="s">
        <v>144</v>
      </c>
      <c r="AG30" s="39" t="s">
        <v>145</v>
      </c>
      <c r="AH30" s="39" t="s">
        <v>264</v>
      </c>
      <c r="AI30" s="42" t="s">
        <v>483</v>
      </c>
      <c r="AJ30" s="42" t="s">
        <v>484</v>
      </c>
    </row>
    <row r="31" ht="15.75" customHeight="1">
      <c r="A31" s="40">
        <v>30.0</v>
      </c>
      <c r="B31" s="39" t="s">
        <v>485</v>
      </c>
      <c r="C31" s="39" t="s">
        <v>486</v>
      </c>
      <c r="D31" s="39" t="s">
        <v>487</v>
      </c>
      <c r="E31" s="39" t="s">
        <v>486</v>
      </c>
      <c r="F31" s="39" t="s">
        <v>427</v>
      </c>
      <c r="G31" s="39" t="s">
        <v>488</v>
      </c>
      <c r="H31" s="39" t="s">
        <v>489</v>
      </c>
      <c r="I31" s="39"/>
      <c r="J31" s="39" t="s">
        <v>490</v>
      </c>
      <c r="K31" s="40">
        <v>6728.0</v>
      </c>
      <c r="L31" s="39" t="s">
        <v>491</v>
      </c>
      <c r="M31" s="39" t="s">
        <v>379</v>
      </c>
      <c r="N31" s="39" t="s">
        <v>380</v>
      </c>
      <c r="O31" s="39" t="s">
        <v>193</v>
      </c>
      <c r="P31" s="39" t="s">
        <v>194</v>
      </c>
      <c r="Q31" s="40">
        <v>10036.0</v>
      </c>
      <c r="R31" s="39" t="s">
        <v>137</v>
      </c>
      <c r="S31" s="39" t="s">
        <v>19</v>
      </c>
      <c r="T31" s="39" t="s">
        <v>160</v>
      </c>
      <c r="U31" s="39" t="s">
        <v>70</v>
      </c>
      <c r="V31" s="39" t="s">
        <v>195</v>
      </c>
      <c r="W31" s="41">
        <v>45521.0</v>
      </c>
      <c r="X31" s="40">
        <v>56.0</v>
      </c>
      <c r="Y31" s="39" t="s">
        <v>492</v>
      </c>
      <c r="Z31" s="41">
        <v>34223.0</v>
      </c>
      <c r="AA31" s="39" t="s">
        <v>141</v>
      </c>
      <c r="AB31" s="39" t="s">
        <v>142</v>
      </c>
      <c r="AC31" s="39" t="s">
        <v>197</v>
      </c>
      <c r="AD31" s="40">
        <v>121000.0</v>
      </c>
      <c r="AE31" s="40">
        <v>121000.0</v>
      </c>
      <c r="AF31" s="39" t="s">
        <v>144</v>
      </c>
      <c r="AG31" s="39" t="s">
        <v>145</v>
      </c>
      <c r="AH31" s="39" t="s">
        <v>146</v>
      </c>
      <c r="AI31" s="42" t="s">
        <v>493</v>
      </c>
      <c r="AJ31" s="42" t="s">
        <v>494</v>
      </c>
    </row>
    <row r="32" ht="15.75" customHeight="1">
      <c r="A32" s="40">
        <v>31.0</v>
      </c>
      <c r="B32" s="39" t="s">
        <v>495</v>
      </c>
      <c r="C32" s="39" t="s">
        <v>496</v>
      </c>
      <c r="D32" s="39" t="s">
        <v>497</v>
      </c>
      <c r="E32" s="39" t="s">
        <v>496</v>
      </c>
      <c r="F32" s="39" t="s">
        <v>427</v>
      </c>
      <c r="G32" s="39" t="s">
        <v>498</v>
      </c>
      <c r="H32" s="39" t="s">
        <v>499</v>
      </c>
      <c r="I32" s="39"/>
      <c r="J32" s="39" t="s">
        <v>500</v>
      </c>
      <c r="K32" s="40">
        <v>8018.0</v>
      </c>
      <c r="L32" s="39" t="s">
        <v>501</v>
      </c>
      <c r="M32" s="39" t="s">
        <v>208</v>
      </c>
      <c r="N32" s="39" t="s">
        <v>209</v>
      </c>
      <c r="O32" s="39" t="s">
        <v>135</v>
      </c>
      <c r="P32" s="39" t="s">
        <v>136</v>
      </c>
      <c r="Q32" s="40">
        <v>94105.0</v>
      </c>
      <c r="R32" s="39" t="s">
        <v>137</v>
      </c>
      <c r="S32" s="39" t="s">
        <v>19</v>
      </c>
      <c r="T32" s="39" t="s">
        <v>138</v>
      </c>
      <c r="U32" s="39" t="s">
        <v>73</v>
      </c>
      <c r="V32" s="39" t="s">
        <v>139</v>
      </c>
      <c r="W32" s="41">
        <v>45614.0</v>
      </c>
      <c r="X32" s="40">
        <v>75.0</v>
      </c>
      <c r="Y32" s="39" t="s">
        <v>502</v>
      </c>
      <c r="Z32" s="41">
        <v>34005.0</v>
      </c>
      <c r="AA32" s="39" t="s">
        <v>163</v>
      </c>
      <c r="AB32" s="39" t="s">
        <v>180</v>
      </c>
      <c r="AC32" s="39" t="s">
        <v>181</v>
      </c>
      <c r="AD32" s="40">
        <v>115000.0</v>
      </c>
      <c r="AE32" s="40">
        <v>115000.0</v>
      </c>
      <c r="AF32" s="39" t="s">
        <v>144</v>
      </c>
      <c r="AG32" s="39" t="s">
        <v>145</v>
      </c>
      <c r="AH32" s="39" t="s">
        <v>146</v>
      </c>
      <c r="AI32" s="42" t="s">
        <v>503</v>
      </c>
      <c r="AJ32" s="42" t="s">
        <v>504</v>
      </c>
    </row>
    <row r="33" ht="15.75" customHeight="1">
      <c r="A33" s="40">
        <v>32.0</v>
      </c>
      <c r="B33" s="39" t="s">
        <v>505</v>
      </c>
      <c r="C33" s="39" t="s">
        <v>506</v>
      </c>
      <c r="D33" s="39" t="s">
        <v>507</v>
      </c>
      <c r="E33" s="39" t="s">
        <v>506</v>
      </c>
      <c r="F33" s="39" t="s">
        <v>427</v>
      </c>
      <c r="G33" s="39" t="s">
        <v>508</v>
      </c>
      <c r="H33" s="39" t="s">
        <v>509</v>
      </c>
      <c r="I33" s="39"/>
      <c r="J33" s="39" t="s">
        <v>510</v>
      </c>
      <c r="K33" s="40">
        <v>6440.0</v>
      </c>
      <c r="L33" s="39" t="s">
        <v>511</v>
      </c>
      <c r="M33" s="39" t="s">
        <v>133</v>
      </c>
      <c r="N33" s="39" t="s">
        <v>134</v>
      </c>
      <c r="O33" s="39" t="s">
        <v>135</v>
      </c>
      <c r="P33" s="39" t="s">
        <v>136</v>
      </c>
      <c r="Q33" s="40">
        <v>94108.0</v>
      </c>
      <c r="R33" s="39" t="s">
        <v>137</v>
      </c>
      <c r="S33" s="39" t="s">
        <v>19</v>
      </c>
      <c r="T33" s="39" t="s">
        <v>236</v>
      </c>
      <c r="U33" s="39" t="s">
        <v>77</v>
      </c>
      <c r="V33" s="39" t="s">
        <v>139</v>
      </c>
      <c r="W33" s="41">
        <v>44925.0</v>
      </c>
      <c r="X33" s="40">
        <v>52.0</v>
      </c>
      <c r="Y33" s="39" t="s">
        <v>512</v>
      </c>
      <c r="Z33" s="41">
        <v>36504.0</v>
      </c>
      <c r="AA33" s="39" t="s">
        <v>163</v>
      </c>
      <c r="AB33" s="39" t="s">
        <v>180</v>
      </c>
      <c r="AC33" s="39" t="s">
        <v>279</v>
      </c>
      <c r="AD33" s="40">
        <v>120000.0</v>
      </c>
      <c r="AE33" s="40">
        <v>120000.0</v>
      </c>
      <c r="AF33" s="39" t="s">
        <v>144</v>
      </c>
      <c r="AG33" s="39" t="s">
        <v>145</v>
      </c>
      <c r="AH33" s="39" t="s">
        <v>293</v>
      </c>
      <c r="AI33" s="42" t="s">
        <v>513</v>
      </c>
      <c r="AJ33" s="42" t="s">
        <v>514</v>
      </c>
    </row>
    <row r="34" ht="15.75" customHeight="1">
      <c r="A34" s="40">
        <v>33.0</v>
      </c>
      <c r="B34" s="39" t="s">
        <v>515</v>
      </c>
      <c r="C34" s="39" t="s">
        <v>516</v>
      </c>
      <c r="D34" s="39" t="s">
        <v>517</v>
      </c>
      <c r="E34" s="39" t="s">
        <v>516</v>
      </c>
      <c r="F34" s="39" t="s">
        <v>152</v>
      </c>
      <c r="G34" s="39" t="s">
        <v>518</v>
      </c>
      <c r="H34" s="39" t="s">
        <v>519</v>
      </c>
      <c r="I34" s="39"/>
      <c r="J34" s="39" t="s">
        <v>520</v>
      </c>
      <c r="K34" s="40">
        <v>4166.0</v>
      </c>
      <c r="L34" s="39" t="s">
        <v>521</v>
      </c>
      <c r="M34" s="39" t="s">
        <v>289</v>
      </c>
      <c r="N34" s="39"/>
      <c r="O34" s="39" t="s">
        <v>174</v>
      </c>
      <c r="P34" s="39" t="s">
        <v>175</v>
      </c>
      <c r="Q34" s="39" t="s">
        <v>290</v>
      </c>
      <c r="R34" s="39" t="s">
        <v>177</v>
      </c>
      <c r="S34" s="39" t="s">
        <v>19</v>
      </c>
      <c r="T34" s="39" t="s">
        <v>236</v>
      </c>
      <c r="U34" s="39" t="s">
        <v>75</v>
      </c>
      <c r="V34" s="39" t="s">
        <v>178</v>
      </c>
      <c r="W34" s="41">
        <v>44799.0</v>
      </c>
      <c r="X34" s="40">
        <v>82.0</v>
      </c>
      <c r="Y34" s="39" t="s">
        <v>522</v>
      </c>
      <c r="Z34" s="41">
        <v>35503.0</v>
      </c>
      <c r="AA34" s="39" t="s">
        <v>263</v>
      </c>
      <c r="AB34" s="39" t="s">
        <v>142</v>
      </c>
      <c r="AC34" s="39" t="s">
        <v>197</v>
      </c>
      <c r="AD34" s="40">
        <v>160000.0</v>
      </c>
      <c r="AE34" s="40">
        <v>160000.0</v>
      </c>
      <c r="AF34" s="39" t="s">
        <v>144</v>
      </c>
      <c r="AG34" s="39" t="s">
        <v>145</v>
      </c>
      <c r="AH34" s="39" t="s">
        <v>146</v>
      </c>
      <c r="AI34" s="42" t="s">
        <v>523</v>
      </c>
      <c r="AJ34" s="42" t="s">
        <v>524</v>
      </c>
    </row>
    <row r="35" ht="15.75" customHeight="1">
      <c r="A35" s="40">
        <v>34.0</v>
      </c>
      <c r="B35" s="39" t="s">
        <v>525</v>
      </c>
      <c r="C35" s="39" t="s">
        <v>526</v>
      </c>
      <c r="D35" s="39" t="s">
        <v>527</v>
      </c>
      <c r="E35" s="39" t="s">
        <v>526</v>
      </c>
      <c r="F35" s="39" t="s">
        <v>427</v>
      </c>
      <c r="G35" s="39" t="s">
        <v>528</v>
      </c>
      <c r="H35" s="39" t="s">
        <v>529</v>
      </c>
      <c r="I35" s="39"/>
      <c r="J35" s="39" t="s">
        <v>530</v>
      </c>
      <c r="K35" s="40">
        <v>5018.0</v>
      </c>
      <c r="L35" s="39" t="s">
        <v>531</v>
      </c>
      <c r="M35" s="39" t="s">
        <v>260</v>
      </c>
      <c r="N35" s="39" t="s">
        <v>261</v>
      </c>
      <c r="O35" s="39" t="s">
        <v>193</v>
      </c>
      <c r="P35" s="39" t="s">
        <v>194</v>
      </c>
      <c r="Q35" s="40">
        <v>10011.0</v>
      </c>
      <c r="R35" s="39" t="s">
        <v>137</v>
      </c>
      <c r="S35" s="39" t="s">
        <v>19</v>
      </c>
      <c r="T35" s="39" t="s">
        <v>160</v>
      </c>
      <c r="U35" s="39" t="s">
        <v>77</v>
      </c>
      <c r="V35" s="39" t="s">
        <v>195</v>
      </c>
      <c r="W35" s="41">
        <v>45719.0</v>
      </c>
      <c r="X35" s="40">
        <v>76.0</v>
      </c>
      <c r="Y35" s="39" t="s">
        <v>532</v>
      </c>
      <c r="Z35" s="41">
        <v>32328.0</v>
      </c>
      <c r="AA35" s="39" t="s">
        <v>163</v>
      </c>
      <c r="AB35" s="39" t="s">
        <v>142</v>
      </c>
      <c r="AC35" s="39" t="s">
        <v>197</v>
      </c>
      <c r="AD35" s="40">
        <v>157000.0</v>
      </c>
      <c r="AE35" s="40">
        <v>157000.0</v>
      </c>
      <c r="AF35" s="39" t="s">
        <v>144</v>
      </c>
      <c r="AG35" s="39" t="s">
        <v>145</v>
      </c>
      <c r="AH35" s="39" t="s">
        <v>146</v>
      </c>
      <c r="AI35" s="42" t="s">
        <v>533</v>
      </c>
      <c r="AJ35" s="42" t="s">
        <v>534</v>
      </c>
    </row>
    <row r="36" ht="15.75" customHeight="1">
      <c r="A36" s="40">
        <v>35.0</v>
      </c>
      <c r="B36" s="39" t="s">
        <v>535</v>
      </c>
      <c r="C36" s="39" t="s">
        <v>536</v>
      </c>
      <c r="D36" s="39" t="s">
        <v>537</v>
      </c>
      <c r="E36" s="39" t="s">
        <v>536</v>
      </c>
      <c r="F36" s="39" t="s">
        <v>186</v>
      </c>
      <c r="G36" s="39" t="s">
        <v>538</v>
      </c>
      <c r="H36" s="39" t="s">
        <v>539</v>
      </c>
      <c r="I36" s="39"/>
      <c r="J36" s="39" t="s">
        <v>540</v>
      </c>
      <c r="K36" s="40">
        <v>4186.0</v>
      </c>
      <c r="L36" s="39" t="s">
        <v>541</v>
      </c>
      <c r="M36" s="39" t="s">
        <v>222</v>
      </c>
      <c r="N36" s="39" t="s">
        <v>223</v>
      </c>
      <c r="O36" s="39" t="s">
        <v>135</v>
      </c>
      <c r="P36" s="39" t="s">
        <v>136</v>
      </c>
      <c r="Q36" s="40">
        <v>94104.0</v>
      </c>
      <c r="R36" s="39" t="s">
        <v>137</v>
      </c>
      <c r="S36" s="39" t="s">
        <v>19</v>
      </c>
      <c r="T36" s="39" t="s">
        <v>138</v>
      </c>
      <c r="U36" s="39" t="s">
        <v>70</v>
      </c>
      <c r="V36" s="39" t="s">
        <v>139</v>
      </c>
      <c r="W36" s="41">
        <v>44657.0</v>
      </c>
      <c r="X36" s="40">
        <v>108.0</v>
      </c>
      <c r="Y36" s="39" t="s">
        <v>542</v>
      </c>
      <c r="Z36" s="41">
        <v>32175.0</v>
      </c>
      <c r="AA36" s="39" t="s">
        <v>163</v>
      </c>
      <c r="AB36" s="39" t="s">
        <v>142</v>
      </c>
      <c r="AC36" s="39" t="s">
        <v>181</v>
      </c>
      <c r="AD36" s="40">
        <v>145000.0</v>
      </c>
      <c r="AE36" s="40">
        <v>145000.0</v>
      </c>
      <c r="AF36" s="39" t="s">
        <v>144</v>
      </c>
      <c r="AG36" s="39" t="s">
        <v>145</v>
      </c>
      <c r="AH36" s="39" t="s">
        <v>264</v>
      </c>
      <c r="AI36" s="42" t="s">
        <v>543</v>
      </c>
      <c r="AJ36" s="42" t="s">
        <v>544</v>
      </c>
    </row>
    <row r="37" ht="15.75" customHeight="1">
      <c r="A37" s="40">
        <v>36.0</v>
      </c>
      <c r="B37" s="39" t="s">
        <v>545</v>
      </c>
      <c r="C37" s="39" t="s">
        <v>546</v>
      </c>
      <c r="D37" s="39" t="s">
        <v>547</v>
      </c>
      <c r="E37" s="39" t="s">
        <v>546</v>
      </c>
      <c r="F37" s="39" t="s">
        <v>231</v>
      </c>
      <c r="G37" s="39" t="s">
        <v>548</v>
      </c>
      <c r="H37" s="39" t="s">
        <v>549</v>
      </c>
      <c r="I37" s="39"/>
      <c r="J37" s="39" t="s">
        <v>550</v>
      </c>
      <c r="K37" s="40">
        <v>9141.0</v>
      </c>
      <c r="L37" s="39" t="s">
        <v>551</v>
      </c>
      <c r="M37" s="39" t="s">
        <v>260</v>
      </c>
      <c r="N37" s="39" t="s">
        <v>261</v>
      </c>
      <c r="O37" s="39" t="s">
        <v>193</v>
      </c>
      <c r="P37" s="39" t="s">
        <v>194</v>
      </c>
      <c r="Q37" s="40">
        <v>10011.0</v>
      </c>
      <c r="R37" s="39" t="s">
        <v>137</v>
      </c>
      <c r="S37" s="39" t="s">
        <v>17</v>
      </c>
      <c r="T37" s="39" t="s">
        <v>17</v>
      </c>
      <c r="U37" s="39" t="s">
        <v>52</v>
      </c>
      <c r="V37" s="39" t="s">
        <v>195</v>
      </c>
      <c r="W37" s="41">
        <v>45836.0</v>
      </c>
      <c r="X37" s="40">
        <v>91.0</v>
      </c>
      <c r="Y37" s="39" t="s">
        <v>552</v>
      </c>
      <c r="Z37" s="41">
        <v>34951.0</v>
      </c>
      <c r="AA37" s="39" t="s">
        <v>163</v>
      </c>
      <c r="AB37" s="39" t="s">
        <v>142</v>
      </c>
      <c r="AC37" s="39" t="s">
        <v>292</v>
      </c>
      <c r="AD37" s="40">
        <v>183000.0</v>
      </c>
      <c r="AE37" s="40">
        <v>183000.0</v>
      </c>
      <c r="AF37" s="39" t="s">
        <v>144</v>
      </c>
      <c r="AG37" s="39" t="s">
        <v>145</v>
      </c>
      <c r="AH37" s="39" t="s">
        <v>146</v>
      </c>
      <c r="AI37" s="42" t="s">
        <v>553</v>
      </c>
      <c r="AJ37" s="42" t="s">
        <v>554</v>
      </c>
    </row>
    <row r="38" ht="15.75" customHeight="1">
      <c r="A38" s="40">
        <v>37.0</v>
      </c>
      <c r="B38" s="39" t="s">
        <v>555</v>
      </c>
      <c r="C38" s="39" t="s">
        <v>556</v>
      </c>
      <c r="D38" s="39" t="s">
        <v>557</v>
      </c>
      <c r="E38" s="39" t="s">
        <v>556</v>
      </c>
      <c r="F38" s="39" t="s">
        <v>152</v>
      </c>
      <c r="G38" s="39" t="s">
        <v>558</v>
      </c>
      <c r="H38" s="39" t="s">
        <v>559</v>
      </c>
      <c r="I38" s="39"/>
      <c r="J38" s="39" t="s">
        <v>560</v>
      </c>
      <c r="K38" s="40">
        <v>5226.0</v>
      </c>
      <c r="L38" s="39" t="s">
        <v>561</v>
      </c>
      <c r="M38" s="39" t="s">
        <v>346</v>
      </c>
      <c r="N38" s="39"/>
      <c r="O38" s="39" t="s">
        <v>174</v>
      </c>
      <c r="P38" s="39" t="s">
        <v>175</v>
      </c>
      <c r="Q38" s="39" t="s">
        <v>347</v>
      </c>
      <c r="R38" s="39" t="s">
        <v>177</v>
      </c>
      <c r="S38" s="39" t="s">
        <v>17</v>
      </c>
      <c r="T38" s="39" t="s">
        <v>17</v>
      </c>
      <c r="U38" s="39" t="s">
        <v>48</v>
      </c>
      <c r="V38" s="39" t="s">
        <v>178</v>
      </c>
      <c r="W38" s="41">
        <v>45208.0</v>
      </c>
      <c r="X38" s="40">
        <v>91.0</v>
      </c>
      <c r="Y38" s="39" t="s">
        <v>562</v>
      </c>
      <c r="Z38" s="41">
        <v>33400.0</v>
      </c>
      <c r="AA38" s="39" t="s">
        <v>263</v>
      </c>
      <c r="AB38" s="39" t="s">
        <v>142</v>
      </c>
      <c r="AC38" s="39" t="s">
        <v>197</v>
      </c>
      <c r="AD38" s="40">
        <v>187000.0</v>
      </c>
      <c r="AE38" s="40">
        <v>187000.0</v>
      </c>
      <c r="AF38" s="39" t="s">
        <v>144</v>
      </c>
      <c r="AG38" s="39" t="s">
        <v>145</v>
      </c>
      <c r="AH38" s="39" t="s">
        <v>293</v>
      </c>
      <c r="AI38" s="42" t="s">
        <v>563</v>
      </c>
      <c r="AJ38" s="42" t="s">
        <v>564</v>
      </c>
    </row>
    <row r="39" ht="15.75" customHeight="1">
      <c r="A39" s="40">
        <v>38.0</v>
      </c>
      <c r="B39" s="39" t="s">
        <v>565</v>
      </c>
      <c r="C39" s="39" t="s">
        <v>566</v>
      </c>
      <c r="D39" s="39" t="s">
        <v>567</v>
      </c>
      <c r="E39" s="39" t="s">
        <v>566</v>
      </c>
      <c r="F39" s="39" t="s">
        <v>217</v>
      </c>
      <c r="G39" s="39" t="s">
        <v>568</v>
      </c>
      <c r="H39" s="39" t="s">
        <v>569</v>
      </c>
      <c r="I39" s="39"/>
      <c r="J39" s="39" t="s">
        <v>570</v>
      </c>
      <c r="K39" s="40">
        <v>2238.0</v>
      </c>
      <c r="L39" s="39" t="s">
        <v>571</v>
      </c>
      <c r="M39" s="39" t="s">
        <v>247</v>
      </c>
      <c r="N39" s="39" t="s">
        <v>248</v>
      </c>
      <c r="O39" s="39" t="s">
        <v>135</v>
      </c>
      <c r="P39" s="39" t="s">
        <v>136</v>
      </c>
      <c r="Q39" s="40">
        <v>94103.0</v>
      </c>
      <c r="R39" s="39" t="s">
        <v>137</v>
      </c>
      <c r="S39" s="39" t="s">
        <v>18</v>
      </c>
      <c r="T39" s="39" t="s">
        <v>572</v>
      </c>
      <c r="U39" s="39" t="s">
        <v>60</v>
      </c>
      <c r="V39" s="39" t="s">
        <v>139</v>
      </c>
      <c r="W39" s="41">
        <v>45605.0</v>
      </c>
      <c r="X39" s="40">
        <v>193.0</v>
      </c>
      <c r="Y39" s="39" t="s">
        <v>573</v>
      </c>
      <c r="Z39" s="41">
        <v>33927.0</v>
      </c>
      <c r="AA39" s="39" t="s">
        <v>141</v>
      </c>
      <c r="AB39" s="39" t="s">
        <v>180</v>
      </c>
      <c r="AC39" s="39" t="s">
        <v>181</v>
      </c>
      <c r="AD39" s="40">
        <v>173000.0</v>
      </c>
      <c r="AE39" s="40">
        <v>173000.0</v>
      </c>
      <c r="AF39" s="39" t="s">
        <v>144</v>
      </c>
      <c r="AG39" s="39" t="s">
        <v>145</v>
      </c>
      <c r="AH39" s="39" t="s">
        <v>146</v>
      </c>
      <c r="AI39" s="42" t="s">
        <v>574</v>
      </c>
      <c r="AJ39" s="42" t="s">
        <v>575</v>
      </c>
    </row>
    <row r="40" ht="15.75" customHeight="1">
      <c r="A40" s="40">
        <v>39.0</v>
      </c>
      <c r="B40" s="39" t="s">
        <v>576</v>
      </c>
      <c r="C40" s="39" t="s">
        <v>577</v>
      </c>
      <c r="D40" s="39" t="s">
        <v>578</v>
      </c>
      <c r="E40" s="39" t="s">
        <v>577</v>
      </c>
      <c r="F40" s="39" t="s">
        <v>255</v>
      </c>
      <c r="G40" s="39" t="s">
        <v>579</v>
      </c>
      <c r="H40" s="39" t="s">
        <v>580</v>
      </c>
      <c r="I40" s="39"/>
      <c r="J40" s="39" t="s">
        <v>581</v>
      </c>
      <c r="K40" s="40">
        <v>1537.0</v>
      </c>
      <c r="L40" s="39" t="s">
        <v>582</v>
      </c>
      <c r="M40" s="39" t="s">
        <v>247</v>
      </c>
      <c r="N40" s="39" t="s">
        <v>248</v>
      </c>
      <c r="O40" s="39" t="s">
        <v>135</v>
      </c>
      <c r="P40" s="39" t="s">
        <v>136</v>
      </c>
      <c r="Q40" s="40">
        <v>94103.0</v>
      </c>
      <c r="R40" s="39" t="s">
        <v>137</v>
      </c>
      <c r="S40" s="39" t="s">
        <v>18</v>
      </c>
      <c r="T40" s="39" t="s">
        <v>572</v>
      </c>
      <c r="U40" s="39" t="s">
        <v>56</v>
      </c>
      <c r="V40" s="39" t="s">
        <v>139</v>
      </c>
      <c r="W40" s="41">
        <v>44826.0</v>
      </c>
      <c r="X40" s="40">
        <v>38.0</v>
      </c>
      <c r="Y40" s="39" t="s">
        <v>583</v>
      </c>
      <c r="Z40" s="41">
        <v>37399.0</v>
      </c>
      <c r="AA40" s="39" t="s">
        <v>163</v>
      </c>
      <c r="AB40" s="39" t="s">
        <v>142</v>
      </c>
      <c r="AC40" s="39" t="s">
        <v>279</v>
      </c>
      <c r="AD40" s="40">
        <v>80000.0</v>
      </c>
      <c r="AE40" s="40">
        <v>80000.0</v>
      </c>
      <c r="AF40" s="39" t="s">
        <v>144</v>
      </c>
      <c r="AG40" s="39" t="s">
        <v>145</v>
      </c>
      <c r="AH40" s="39" t="s">
        <v>146</v>
      </c>
      <c r="AI40" s="42" t="s">
        <v>584</v>
      </c>
      <c r="AJ40" s="42" t="s">
        <v>585</v>
      </c>
    </row>
    <row r="41" ht="15.75" customHeight="1">
      <c r="A41" s="40">
        <v>40.0</v>
      </c>
      <c r="B41" s="39" t="s">
        <v>586</v>
      </c>
      <c r="C41" s="39" t="s">
        <v>587</v>
      </c>
      <c r="D41" s="39" t="s">
        <v>588</v>
      </c>
      <c r="E41" s="39" t="s">
        <v>587</v>
      </c>
      <c r="F41" s="39" t="s">
        <v>270</v>
      </c>
      <c r="G41" s="39" t="s">
        <v>589</v>
      </c>
      <c r="H41" s="39" t="s">
        <v>590</v>
      </c>
      <c r="I41" s="39"/>
      <c r="J41" s="39" t="s">
        <v>591</v>
      </c>
      <c r="K41" s="40">
        <v>2664.0</v>
      </c>
      <c r="L41" s="39" t="s">
        <v>592</v>
      </c>
      <c r="M41" s="39" t="s">
        <v>208</v>
      </c>
      <c r="N41" s="39" t="s">
        <v>209</v>
      </c>
      <c r="O41" s="39" t="s">
        <v>135</v>
      </c>
      <c r="P41" s="39" t="s">
        <v>136</v>
      </c>
      <c r="Q41" s="40">
        <v>94105.0</v>
      </c>
      <c r="R41" s="39" t="s">
        <v>137</v>
      </c>
      <c r="S41" s="39" t="s">
        <v>18</v>
      </c>
      <c r="T41" s="39" t="s">
        <v>593</v>
      </c>
      <c r="U41" s="39" t="s">
        <v>64</v>
      </c>
      <c r="V41" s="39" t="s">
        <v>139</v>
      </c>
      <c r="W41" s="41">
        <v>44777.0</v>
      </c>
      <c r="X41" s="40">
        <v>41.0</v>
      </c>
      <c r="Y41" s="39" t="s">
        <v>594</v>
      </c>
      <c r="Z41" s="41">
        <v>29721.0</v>
      </c>
      <c r="AA41" s="39" t="s">
        <v>163</v>
      </c>
      <c r="AB41" s="39" t="s">
        <v>142</v>
      </c>
      <c r="AC41" s="39" t="s">
        <v>181</v>
      </c>
      <c r="AD41" s="40">
        <v>120000.0</v>
      </c>
      <c r="AE41" s="40">
        <v>120000.0</v>
      </c>
      <c r="AF41" s="39" t="s">
        <v>144</v>
      </c>
      <c r="AG41" s="39" t="s">
        <v>145</v>
      </c>
      <c r="AH41" s="39" t="s">
        <v>293</v>
      </c>
      <c r="AI41" s="42" t="s">
        <v>595</v>
      </c>
      <c r="AJ41" s="42" t="s">
        <v>596</v>
      </c>
    </row>
    <row r="42" ht="15.75" customHeight="1">
      <c r="A42" s="40">
        <v>41.0</v>
      </c>
      <c r="B42" s="39" t="s">
        <v>597</v>
      </c>
      <c r="C42" s="39" t="s">
        <v>598</v>
      </c>
      <c r="D42" s="39" t="s">
        <v>599</v>
      </c>
      <c r="E42" s="39" t="s">
        <v>598</v>
      </c>
      <c r="F42" s="39" t="s">
        <v>255</v>
      </c>
      <c r="G42" s="39" t="s">
        <v>600</v>
      </c>
      <c r="H42" s="39" t="s">
        <v>601</v>
      </c>
      <c r="I42" s="39"/>
      <c r="J42" s="39" t="s">
        <v>602</v>
      </c>
      <c r="K42" s="40">
        <v>2487.0</v>
      </c>
      <c r="L42" s="39" t="s">
        <v>603</v>
      </c>
      <c r="M42" s="39" t="s">
        <v>133</v>
      </c>
      <c r="N42" s="39" t="s">
        <v>134</v>
      </c>
      <c r="O42" s="39" t="s">
        <v>135</v>
      </c>
      <c r="P42" s="39" t="s">
        <v>136</v>
      </c>
      <c r="Q42" s="40">
        <v>94108.0</v>
      </c>
      <c r="R42" s="39" t="s">
        <v>137</v>
      </c>
      <c r="S42" s="39" t="s">
        <v>18</v>
      </c>
      <c r="T42" s="39" t="s">
        <v>593</v>
      </c>
      <c r="U42" s="39" t="s">
        <v>60</v>
      </c>
      <c r="V42" s="39" t="s">
        <v>139</v>
      </c>
      <c r="W42" s="41">
        <v>45254.0</v>
      </c>
      <c r="X42" s="40">
        <v>102.0</v>
      </c>
      <c r="Y42" s="39" t="s">
        <v>604</v>
      </c>
      <c r="Z42" s="41">
        <v>32501.0</v>
      </c>
      <c r="AA42" s="39" t="s">
        <v>141</v>
      </c>
      <c r="AB42" s="39" t="s">
        <v>142</v>
      </c>
      <c r="AC42" s="39" t="s">
        <v>197</v>
      </c>
      <c r="AD42" s="40">
        <v>184000.0</v>
      </c>
      <c r="AE42" s="40">
        <v>184000.0</v>
      </c>
      <c r="AF42" s="39" t="s">
        <v>144</v>
      </c>
      <c r="AG42" s="39" t="s">
        <v>145</v>
      </c>
      <c r="AH42" s="39" t="s">
        <v>293</v>
      </c>
      <c r="AI42" s="42" t="s">
        <v>605</v>
      </c>
      <c r="AJ42" s="42" t="s">
        <v>606</v>
      </c>
    </row>
    <row r="43" ht="15.75" customHeight="1">
      <c r="A43" s="40">
        <v>42.0</v>
      </c>
      <c r="B43" s="39" t="s">
        <v>607</v>
      </c>
      <c r="C43" s="39" t="s">
        <v>608</v>
      </c>
      <c r="D43" s="39" t="s">
        <v>609</v>
      </c>
      <c r="E43" s="39" t="s">
        <v>608</v>
      </c>
      <c r="F43" s="39" t="s">
        <v>152</v>
      </c>
      <c r="G43" s="39" t="s">
        <v>610</v>
      </c>
      <c r="H43" s="39" t="s">
        <v>611</v>
      </c>
      <c r="I43" s="39"/>
      <c r="J43" s="39" t="s">
        <v>612</v>
      </c>
      <c r="K43" s="40">
        <v>3317.0</v>
      </c>
      <c r="L43" s="39" t="s">
        <v>613</v>
      </c>
      <c r="M43" s="39" t="s">
        <v>275</v>
      </c>
      <c r="N43" s="39"/>
      <c r="O43" s="39" t="s">
        <v>276</v>
      </c>
      <c r="P43" s="39" t="s">
        <v>277</v>
      </c>
      <c r="Q43" s="40">
        <v>98115.0</v>
      </c>
      <c r="R43" s="39" t="s">
        <v>137</v>
      </c>
      <c r="S43" s="39" t="s">
        <v>18</v>
      </c>
      <c r="T43" s="39" t="s">
        <v>593</v>
      </c>
      <c r="U43" s="39" t="s">
        <v>58</v>
      </c>
      <c r="V43" s="39" t="s">
        <v>161</v>
      </c>
      <c r="W43" s="41">
        <v>44734.0</v>
      </c>
      <c r="X43" s="40">
        <v>230.0</v>
      </c>
      <c r="Y43" s="39" t="s">
        <v>614</v>
      </c>
      <c r="Z43" s="41">
        <v>33167.0</v>
      </c>
      <c r="AA43" s="39" t="s">
        <v>163</v>
      </c>
      <c r="AB43" s="39" t="s">
        <v>225</v>
      </c>
      <c r="AC43" s="39" t="s">
        <v>279</v>
      </c>
      <c r="AD43" s="40">
        <v>127000.0</v>
      </c>
      <c r="AE43" s="40">
        <v>127000.0</v>
      </c>
      <c r="AF43" s="39" t="s">
        <v>144</v>
      </c>
      <c r="AG43" s="39" t="s">
        <v>145</v>
      </c>
      <c r="AH43" s="39" t="s">
        <v>146</v>
      </c>
      <c r="AI43" s="42" t="s">
        <v>615</v>
      </c>
      <c r="AJ43" s="42" t="s">
        <v>616</v>
      </c>
    </row>
    <row r="44" ht="15.75" customHeight="1">
      <c r="A44" s="40">
        <v>43.0</v>
      </c>
      <c r="B44" s="39" t="s">
        <v>617</v>
      </c>
      <c r="C44" s="39" t="s">
        <v>618</v>
      </c>
      <c r="D44" s="39" t="s">
        <v>619</v>
      </c>
      <c r="E44" s="39" t="s">
        <v>618</v>
      </c>
      <c r="F44" s="39" t="s">
        <v>128</v>
      </c>
      <c r="G44" s="39" t="s">
        <v>620</v>
      </c>
      <c r="H44" s="39" t="s">
        <v>621</v>
      </c>
      <c r="I44" s="39"/>
      <c r="J44" s="39" t="s">
        <v>622</v>
      </c>
      <c r="K44" s="40">
        <v>4453.0</v>
      </c>
      <c r="L44" s="39" t="s">
        <v>623</v>
      </c>
      <c r="M44" s="39" t="s">
        <v>133</v>
      </c>
      <c r="N44" s="39" t="s">
        <v>134</v>
      </c>
      <c r="O44" s="39" t="s">
        <v>135</v>
      </c>
      <c r="P44" s="39" t="s">
        <v>136</v>
      </c>
      <c r="Q44" s="40">
        <v>94108.0</v>
      </c>
      <c r="R44" s="39" t="s">
        <v>137</v>
      </c>
      <c r="S44" s="39" t="s">
        <v>18</v>
      </c>
      <c r="T44" s="39" t="s">
        <v>593</v>
      </c>
      <c r="U44" s="39" t="s">
        <v>58</v>
      </c>
      <c r="V44" s="39" t="s">
        <v>139</v>
      </c>
      <c r="W44" s="41">
        <v>44892.0</v>
      </c>
      <c r="X44" s="40">
        <v>41.0</v>
      </c>
      <c r="Y44" s="39" t="s">
        <v>624</v>
      </c>
      <c r="Z44" s="41">
        <v>34928.0</v>
      </c>
      <c r="AA44" s="39" t="s">
        <v>163</v>
      </c>
      <c r="AB44" s="39" t="s">
        <v>180</v>
      </c>
      <c r="AC44" s="39" t="s">
        <v>197</v>
      </c>
      <c r="AD44" s="40">
        <v>82000.0</v>
      </c>
      <c r="AE44" s="40">
        <v>82000.0</v>
      </c>
      <c r="AF44" s="39" t="s">
        <v>144</v>
      </c>
      <c r="AG44" s="39" t="s">
        <v>145</v>
      </c>
      <c r="AH44" s="39" t="s">
        <v>293</v>
      </c>
      <c r="AI44" s="42" t="s">
        <v>625</v>
      </c>
      <c r="AJ44" s="42" t="s">
        <v>626</v>
      </c>
    </row>
    <row r="45" ht="15.75" customHeight="1">
      <c r="A45" s="40">
        <v>44.0</v>
      </c>
      <c r="B45" s="39" t="s">
        <v>627</v>
      </c>
      <c r="C45" s="39" t="s">
        <v>628</v>
      </c>
      <c r="D45" s="39" t="s">
        <v>629</v>
      </c>
      <c r="E45" s="39" t="s">
        <v>628</v>
      </c>
      <c r="F45" s="39" t="s">
        <v>203</v>
      </c>
      <c r="G45" s="39" t="s">
        <v>630</v>
      </c>
      <c r="H45" s="39" t="s">
        <v>631</v>
      </c>
      <c r="I45" s="39"/>
      <c r="J45" s="39" t="s">
        <v>632</v>
      </c>
      <c r="K45" s="40">
        <v>7372.0</v>
      </c>
      <c r="L45" s="39" t="s">
        <v>633</v>
      </c>
      <c r="M45" s="39" t="s">
        <v>222</v>
      </c>
      <c r="N45" s="39" t="s">
        <v>223</v>
      </c>
      <c r="O45" s="39" t="s">
        <v>135</v>
      </c>
      <c r="P45" s="39" t="s">
        <v>136</v>
      </c>
      <c r="Q45" s="40">
        <v>94104.0</v>
      </c>
      <c r="R45" s="39" t="s">
        <v>137</v>
      </c>
      <c r="S45" s="39" t="s">
        <v>18</v>
      </c>
      <c r="T45" s="39" t="s">
        <v>593</v>
      </c>
      <c r="U45" s="39" t="s">
        <v>58</v>
      </c>
      <c r="V45" s="39" t="s">
        <v>139</v>
      </c>
      <c r="W45" s="41">
        <v>44697.0</v>
      </c>
      <c r="X45" s="40">
        <v>68.0</v>
      </c>
      <c r="Y45" s="39" t="s">
        <v>634</v>
      </c>
      <c r="Z45" s="41">
        <v>33371.0</v>
      </c>
      <c r="AA45" s="39" t="s">
        <v>163</v>
      </c>
      <c r="AB45" s="39" t="s">
        <v>142</v>
      </c>
      <c r="AC45" s="39" t="s">
        <v>181</v>
      </c>
      <c r="AD45" s="40">
        <v>119000.0</v>
      </c>
      <c r="AE45" s="40">
        <v>119000.0</v>
      </c>
      <c r="AF45" s="39" t="s">
        <v>144</v>
      </c>
      <c r="AG45" s="39" t="s">
        <v>145</v>
      </c>
      <c r="AH45" s="39" t="s">
        <v>146</v>
      </c>
      <c r="AI45" s="42" t="s">
        <v>635</v>
      </c>
      <c r="AJ45" s="42" t="s">
        <v>636</v>
      </c>
    </row>
    <row r="46" ht="15.75" customHeight="1">
      <c r="A46" s="40">
        <v>45.0</v>
      </c>
      <c r="B46" s="39" t="s">
        <v>637</v>
      </c>
      <c r="C46" s="39" t="s">
        <v>638</v>
      </c>
      <c r="D46" s="39" t="s">
        <v>639</v>
      </c>
      <c r="E46" s="39" t="s">
        <v>638</v>
      </c>
      <c r="F46" s="39" t="s">
        <v>217</v>
      </c>
      <c r="G46" s="39" t="s">
        <v>640</v>
      </c>
      <c r="H46" s="39" t="s">
        <v>641</v>
      </c>
      <c r="I46" s="39"/>
      <c r="J46" s="39" t="s">
        <v>642</v>
      </c>
      <c r="K46" s="40">
        <v>3493.0</v>
      </c>
      <c r="L46" s="39" t="s">
        <v>643</v>
      </c>
      <c r="M46" s="39" t="s">
        <v>133</v>
      </c>
      <c r="N46" s="39" t="s">
        <v>134</v>
      </c>
      <c r="O46" s="39" t="s">
        <v>135</v>
      </c>
      <c r="P46" s="39" t="s">
        <v>136</v>
      </c>
      <c r="Q46" s="40">
        <v>94108.0</v>
      </c>
      <c r="R46" s="39" t="s">
        <v>137</v>
      </c>
      <c r="S46" s="39" t="s">
        <v>18</v>
      </c>
      <c r="T46" s="39" t="s">
        <v>593</v>
      </c>
      <c r="U46" s="39" t="s">
        <v>58</v>
      </c>
      <c r="V46" s="39" t="s">
        <v>139</v>
      </c>
      <c r="W46" s="41">
        <v>45156.0</v>
      </c>
      <c r="X46" s="40">
        <v>230.0</v>
      </c>
      <c r="Y46" s="39" t="s">
        <v>644</v>
      </c>
      <c r="Z46" s="41">
        <v>32605.0</v>
      </c>
      <c r="AA46" s="39" t="s">
        <v>141</v>
      </c>
      <c r="AB46" s="39" t="s">
        <v>142</v>
      </c>
      <c r="AC46" s="39" t="s">
        <v>279</v>
      </c>
      <c r="AD46" s="40">
        <v>126000.0</v>
      </c>
      <c r="AE46" s="40">
        <v>126000.0</v>
      </c>
      <c r="AF46" s="39" t="s">
        <v>144</v>
      </c>
      <c r="AG46" s="39" t="s">
        <v>145</v>
      </c>
      <c r="AH46" s="39" t="s">
        <v>293</v>
      </c>
      <c r="AI46" s="42" t="s">
        <v>645</v>
      </c>
      <c r="AJ46" s="42" t="s">
        <v>646</v>
      </c>
    </row>
    <row r="47" ht="15.75" customHeight="1">
      <c r="A47" s="40">
        <v>46.0</v>
      </c>
      <c r="B47" s="39" t="s">
        <v>647</v>
      </c>
      <c r="C47" s="39" t="s">
        <v>648</v>
      </c>
      <c r="D47" s="39" t="s">
        <v>649</v>
      </c>
      <c r="E47" s="39" t="s">
        <v>648</v>
      </c>
      <c r="F47" s="39" t="s">
        <v>255</v>
      </c>
      <c r="G47" s="39" t="s">
        <v>650</v>
      </c>
      <c r="H47" s="39" t="s">
        <v>651</v>
      </c>
      <c r="I47" s="39"/>
      <c r="J47" s="39" t="s">
        <v>652</v>
      </c>
      <c r="K47" s="40">
        <v>3107.0</v>
      </c>
      <c r="L47" s="39" t="s">
        <v>653</v>
      </c>
      <c r="M47" s="39" t="s">
        <v>222</v>
      </c>
      <c r="N47" s="39" t="s">
        <v>223</v>
      </c>
      <c r="O47" s="39" t="s">
        <v>135</v>
      </c>
      <c r="P47" s="39" t="s">
        <v>136</v>
      </c>
      <c r="Q47" s="40">
        <v>94104.0</v>
      </c>
      <c r="R47" s="39" t="s">
        <v>137</v>
      </c>
      <c r="S47" s="39" t="s">
        <v>19</v>
      </c>
      <c r="T47" s="39" t="s">
        <v>160</v>
      </c>
      <c r="U47" s="39" t="s">
        <v>74</v>
      </c>
      <c r="V47" s="39" t="s">
        <v>139</v>
      </c>
      <c r="W47" s="41">
        <v>45268.0</v>
      </c>
      <c r="X47" s="40">
        <v>237.0</v>
      </c>
      <c r="Y47" s="39" t="s">
        <v>654</v>
      </c>
      <c r="Z47" s="41">
        <v>34876.0</v>
      </c>
      <c r="AA47" s="39" t="s">
        <v>279</v>
      </c>
      <c r="AB47" s="39" t="s">
        <v>142</v>
      </c>
      <c r="AC47" s="39" t="s">
        <v>197</v>
      </c>
      <c r="AD47" s="40">
        <v>175000.0</v>
      </c>
      <c r="AE47" s="40">
        <v>175000.0</v>
      </c>
      <c r="AF47" s="39" t="s">
        <v>144</v>
      </c>
      <c r="AG47" s="39" t="s">
        <v>145</v>
      </c>
      <c r="AH47" s="39" t="s">
        <v>146</v>
      </c>
      <c r="AI47" s="42" t="s">
        <v>655</v>
      </c>
      <c r="AJ47" s="42" t="s">
        <v>656</v>
      </c>
    </row>
    <row r="48" ht="15.75" customHeight="1">
      <c r="A48" s="40">
        <v>47.0</v>
      </c>
      <c r="B48" s="39" t="s">
        <v>657</v>
      </c>
      <c r="C48" s="39" t="s">
        <v>658</v>
      </c>
      <c r="D48" s="39" t="s">
        <v>659</v>
      </c>
      <c r="E48" s="39" t="s">
        <v>658</v>
      </c>
      <c r="F48" s="39" t="s">
        <v>186</v>
      </c>
      <c r="G48" s="39" t="s">
        <v>660</v>
      </c>
      <c r="H48" s="39" t="s">
        <v>661</v>
      </c>
      <c r="I48" s="39"/>
      <c r="J48" s="39" t="s">
        <v>662</v>
      </c>
      <c r="K48" s="40">
        <v>5285.0</v>
      </c>
      <c r="L48" s="39" t="s">
        <v>663</v>
      </c>
      <c r="M48" s="39" t="s">
        <v>222</v>
      </c>
      <c r="N48" s="39" t="s">
        <v>223</v>
      </c>
      <c r="O48" s="39" t="s">
        <v>135</v>
      </c>
      <c r="P48" s="39" t="s">
        <v>136</v>
      </c>
      <c r="Q48" s="40">
        <v>94104.0</v>
      </c>
      <c r="R48" s="39" t="s">
        <v>137</v>
      </c>
      <c r="S48" s="39" t="s">
        <v>19</v>
      </c>
      <c r="T48" s="39" t="s">
        <v>160</v>
      </c>
      <c r="U48" s="39" t="s">
        <v>73</v>
      </c>
      <c r="V48" s="39" t="s">
        <v>139</v>
      </c>
      <c r="W48" s="41">
        <v>44730.0</v>
      </c>
      <c r="X48" s="40">
        <v>84.0</v>
      </c>
      <c r="Y48" s="39" t="s">
        <v>664</v>
      </c>
      <c r="Z48" s="41">
        <v>36375.0</v>
      </c>
      <c r="AA48" s="39" t="s">
        <v>141</v>
      </c>
      <c r="AB48" s="39" t="s">
        <v>142</v>
      </c>
      <c r="AC48" s="39" t="s">
        <v>181</v>
      </c>
      <c r="AD48" s="40">
        <v>116000.0</v>
      </c>
      <c r="AE48" s="40">
        <v>116000.0</v>
      </c>
      <c r="AF48" s="39" t="s">
        <v>144</v>
      </c>
      <c r="AG48" s="39" t="s">
        <v>145</v>
      </c>
      <c r="AH48" s="39" t="s">
        <v>264</v>
      </c>
      <c r="AI48" s="42" t="s">
        <v>665</v>
      </c>
      <c r="AJ48" s="42" t="s">
        <v>666</v>
      </c>
    </row>
    <row r="49" ht="15.75" customHeight="1">
      <c r="A49" s="40">
        <v>48.0</v>
      </c>
      <c r="B49" s="39" t="s">
        <v>667</v>
      </c>
      <c r="C49" s="39" t="s">
        <v>668</v>
      </c>
      <c r="D49" s="39" t="s">
        <v>669</v>
      </c>
      <c r="E49" s="39" t="s">
        <v>668</v>
      </c>
      <c r="F49" s="39" t="s">
        <v>270</v>
      </c>
      <c r="G49" s="39" t="s">
        <v>670</v>
      </c>
      <c r="H49" s="39" t="s">
        <v>671</v>
      </c>
      <c r="I49" s="39"/>
      <c r="J49" s="39" t="s">
        <v>672</v>
      </c>
      <c r="K49" s="40">
        <v>1002.0</v>
      </c>
      <c r="L49" s="39" t="s">
        <v>673</v>
      </c>
      <c r="M49" s="39" t="s">
        <v>133</v>
      </c>
      <c r="N49" s="39" t="s">
        <v>134</v>
      </c>
      <c r="O49" s="39" t="s">
        <v>135</v>
      </c>
      <c r="P49" s="39" t="s">
        <v>136</v>
      </c>
      <c r="Q49" s="40">
        <v>94108.0</v>
      </c>
      <c r="R49" s="39" t="s">
        <v>137</v>
      </c>
      <c r="S49" s="39" t="s">
        <v>19</v>
      </c>
      <c r="T49" s="39" t="s">
        <v>138</v>
      </c>
      <c r="U49" s="39" t="s">
        <v>71</v>
      </c>
      <c r="V49" s="39" t="s">
        <v>139</v>
      </c>
      <c r="W49" s="41">
        <v>45419.0</v>
      </c>
      <c r="X49" s="40">
        <v>83.0</v>
      </c>
      <c r="Y49" s="39" t="s">
        <v>674</v>
      </c>
      <c r="Z49" s="41">
        <v>36049.0</v>
      </c>
      <c r="AA49" s="39" t="s">
        <v>163</v>
      </c>
      <c r="AB49" s="39" t="s">
        <v>180</v>
      </c>
      <c r="AC49" s="39" t="s">
        <v>197</v>
      </c>
      <c r="AD49" s="40">
        <v>145000.0</v>
      </c>
      <c r="AE49" s="40">
        <v>145000.0</v>
      </c>
      <c r="AF49" s="39" t="s">
        <v>144</v>
      </c>
      <c r="AG49" s="39" t="s">
        <v>145</v>
      </c>
      <c r="AH49" s="39" t="s">
        <v>146</v>
      </c>
      <c r="AI49" s="42" t="s">
        <v>675</v>
      </c>
      <c r="AJ49" s="42" t="s">
        <v>676</v>
      </c>
    </row>
    <row r="50" ht="15.75" customHeight="1">
      <c r="A50" s="40">
        <v>49.0</v>
      </c>
      <c r="B50" s="39" t="s">
        <v>677</v>
      </c>
      <c r="C50" s="39" t="s">
        <v>678</v>
      </c>
      <c r="D50" s="39" t="s">
        <v>679</v>
      </c>
      <c r="E50" s="39" t="s">
        <v>678</v>
      </c>
      <c r="F50" s="39" t="s">
        <v>255</v>
      </c>
      <c r="G50" s="39" t="s">
        <v>680</v>
      </c>
      <c r="H50" s="39" t="s">
        <v>681</v>
      </c>
      <c r="I50" s="39"/>
      <c r="J50" s="39" t="s">
        <v>682</v>
      </c>
      <c r="K50" s="40">
        <v>2622.0</v>
      </c>
      <c r="L50" s="39" t="s">
        <v>683</v>
      </c>
      <c r="M50" s="39" t="s">
        <v>222</v>
      </c>
      <c r="N50" s="39" t="s">
        <v>223</v>
      </c>
      <c r="O50" s="39" t="s">
        <v>135</v>
      </c>
      <c r="P50" s="39" t="s">
        <v>136</v>
      </c>
      <c r="Q50" s="40">
        <v>94104.0</v>
      </c>
      <c r="R50" s="39" t="s">
        <v>137</v>
      </c>
      <c r="S50" s="39" t="s">
        <v>19</v>
      </c>
      <c r="T50" s="39" t="s">
        <v>138</v>
      </c>
      <c r="U50" s="39" t="s">
        <v>68</v>
      </c>
      <c r="V50" s="39" t="s">
        <v>139</v>
      </c>
      <c r="W50" s="41">
        <v>44807.0</v>
      </c>
      <c r="X50" s="40">
        <v>108.0</v>
      </c>
      <c r="Y50" s="39" t="s">
        <v>684</v>
      </c>
      <c r="Z50" s="41">
        <v>33672.0</v>
      </c>
      <c r="AA50" s="39" t="s">
        <v>279</v>
      </c>
      <c r="AB50" s="39" t="s">
        <v>180</v>
      </c>
      <c r="AC50" s="39" t="s">
        <v>143</v>
      </c>
      <c r="AD50" s="40">
        <v>115000.0</v>
      </c>
      <c r="AE50" s="40">
        <v>115000.0</v>
      </c>
      <c r="AF50" s="39" t="s">
        <v>144</v>
      </c>
      <c r="AG50" s="39" t="s">
        <v>145</v>
      </c>
      <c r="AH50" s="39" t="s">
        <v>264</v>
      </c>
      <c r="AI50" s="42" t="s">
        <v>685</v>
      </c>
      <c r="AJ50" s="42" t="s">
        <v>686</v>
      </c>
    </row>
    <row r="51" ht="15.75" customHeight="1">
      <c r="A51" s="40">
        <v>50.0</v>
      </c>
      <c r="B51" s="39" t="s">
        <v>687</v>
      </c>
      <c r="C51" s="39" t="s">
        <v>688</v>
      </c>
      <c r="D51" s="39" t="s">
        <v>689</v>
      </c>
      <c r="E51" s="39" t="s">
        <v>688</v>
      </c>
      <c r="F51" s="39" t="s">
        <v>128</v>
      </c>
      <c r="G51" s="39" t="s">
        <v>690</v>
      </c>
      <c r="H51" s="39" t="s">
        <v>691</v>
      </c>
      <c r="I51" s="39"/>
      <c r="J51" s="39" t="s">
        <v>692</v>
      </c>
      <c r="K51" s="40">
        <v>8454.0</v>
      </c>
      <c r="L51" s="39" t="s">
        <v>693</v>
      </c>
      <c r="M51" s="39" t="s">
        <v>208</v>
      </c>
      <c r="N51" s="39" t="s">
        <v>209</v>
      </c>
      <c r="O51" s="39" t="s">
        <v>135</v>
      </c>
      <c r="P51" s="39" t="s">
        <v>136</v>
      </c>
      <c r="Q51" s="40">
        <v>94105.0</v>
      </c>
      <c r="R51" s="39" t="s">
        <v>137</v>
      </c>
      <c r="S51" s="39" t="s">
        <v>18</v>
      </c>
      <c r="T51" s="39" t="s">
        <v>572</v>
      </c>
      <c r="U51" s="39" t="s">
        <v>60</v>
      </c>
      <c r="V51" s="39" t="s">
        <v>139</v>
      </c>
      <c r="W51" s="41">
        <v>44614.0</v>
      </c>
      <c r="X51" s="40">
        <v>193.0</v>
      </c>
      <c r="Y51" s="39" t="s">
        <v>694</v>
      </c>
      <c r="Z51" s="41">
        <v>32169.0</v>
      </c>
      <c r="AA51" s="39" t="s">
        <v>141</v>
      </c>
      <c r="AB51" s="39" t="s">
        <v>142</v>
      </c>
      <c r="AC51" s="39" t="s">
        <v>181</v>
      </c>
      <c r="AD51" s="40">
        <v>189000.0</v>
      </c>
      <c r="AE51" s="40">
        <v>189000.0</v>
      </c>
      <c r="AF51" s="39" t="s">
        <v>144</v>
      </c>
      <c r="AG51" s="39" t="s">
        <v>145</v>
      </c>
      <c r="AH51" s="39" t="s">
        <v>293</v>
      </c>
      <c r="AI51" s="42" t="s">
        <v>695</v>
      </c>
      <c r="AJ51" s="42" t="s">
        <v>696</v>
      </c>
    </row>
    <row r="52" ht="15.75" customHeight="1">
      <c r="A52" s="40">
        <v>51.0</v>
      </c>
      <c r="B52" s="39" t="s">
        <v>697</v>
      </c>
      <c r="C52" s="39" t="s">
        <v>698</v>
      </c>
      <c r="D52" s="39" t="s">
        <v>599</v>
      </c>
      <c r="E52" s="39" t="s">
        <v>698</v>
      </c>
      <c r="F52" s="39" t="s">
        <v>203</v>
      </c>
      <c r="G52" s="39" t="s">
        <v>699</v>
      </c>
      <c r="H52" s="39" t="s">
        <v>700</v>
      </c>
      <c r="I52" s="39"/>
      <c r="J52" s="39" t="s">
        <v>701</v>
      </c>
      <c r="K52" s="40">
        <v>6964.0</v>
      </c>
      <c r="L52" s="39" t="s">
        <v>702</v>
      </c>
      <c r="M52" s="39" t="s">
        <v>208</v>
      </c>
      <c r="N52" s="39" t="s">
        <v>209</v>
      </c>
      <c r="O52" s="39" t="s">
        <v>135</v>
      </c>
      <c r="P52" s="39" t="s">
        <v>136</v>
      </c>
      <c r="Q52" s="40">
        <v>94105.0</v>
      </c>
      <c r="R52" s="39" t="s">
        <v>137</v>
      </c>
      <c r="S52" s="39" t="s">
        <v>19</v>
      </c>
      <c r="T52" s="39" t="s">
        <v>236</v>
      </c>
      <c r="U52" s="39" t="s">
        <v>75</v>
      </c>
      <c r="V52" s="39" t="s">
        <v>139</v>
      </c>
      <c r="W52" s="41">
        <v>44866.0</v>
      </c>
      <c r="X52" s="40">
        <v>97.0</v>
      </c>
      <c r="Y52" s="39" t="s">
        <v>703</v>
      </c>
      <c r="Z52" s="41">
        <v>32142.0</v>
      </c>
      <c r="AA52" s="39" t="s">
        <v>141</v>
      </c>
      <c r="AB52" s="39" t="s">
        <v>142</v>
      </c>
      <c r="AC52" s="39" t="s">
        <v>181</v>
      </c>
      <c r="AD52" s="40">
        <v>208000.0</v>
      </c>
      <c r="AE52" s="40">
        <v>208000.0</v>
      </c>
      <c r="AF52" s="39" t="s">
        <v>144</v>
      </c>
      <c r="AG52" s="39" t="s">
        <v>145</v>
      </c>
      <c r="AH52" s="39" t="s">
        <v>264</v>
      </c>
      <c r="AI52" s="42" t="s">
        <v>704</v>
      </c>
      <c r="AJ52" s="42" t="s">
        <v>705</v>
      </c>
    </row>
    <row r="53" ht="15.75" customHeight="1">
      <c r="A53" s="40">
        <v>52.0</v>
      </c>
      <c r="B53" s="39" t="s">
        <v>706</v>
      </c>
      <c r="C53" s="39" t="s">
        <v>707</v>
      </c>
      <c r="D53" s="39" t="s">
        <v>708</v>
      </c>
      <c r="E53" s="39" t="s">
        <v>707</v>
      </c>
      <c r="F53" s="39" t="s">
        <v>427</v>
      </c>
      <c r="G53" s="39" t="s">
        <v>709</v>
      </c>
      <c r="H53" s="39" t="s">
        <v>710</v>
      </c>
      <c r="I53" s="39"/>
      <c r="J53" s="39" t="s">
        <v>711</v>
      </c>
      <c r="K53" s="40">
        <v>1456.0</v>
      </c>
      <c r="L53" s="39" t="s">
        <v>712</v>
      </c>
      <c r="M53" s="39" t="s">
        <v>173</v>
      </c>
      <c r="N53" s="39"/>
      <c r="O53" s="39" t="s">
        <v>174</v>
      </c>
      <c r="P53" s="39" t="s">
        <v>175</v>
      </c>
      <c r="Q53" s="39" t="s">
        <v>176</v>
      </c>
      <c r="R53" s="39" t="s">
        <v>177</v>
      </c>
      <c r="S53" s="39" t="s">
        <v>19</v>
      </c>
      <c r="T53" s="39" t="s">
        <v>236</v>
      </c>
      <c r="U53" s="39" t="s">
        <v>69</v>
      </c>
      <c r="V53" s="39" t="s">
        <v>178</v>
      </c>
      <c r="W53" s="41">
        <v>45090.0</v>
      </c>
      <c r="X53" s="40">
        <v>237.0</v>
      </c>
      <c r="Y53" s="39" t="s">
        <v>713</v>
      </c>
      <c r="Z53" s="41">
        <v>34010.0</v>
      </c>
      <c r="AA53" s="39" t="s">
        <v>163</v>
      </c>
      <c r="AB53" s="39" t="s">
        <v>180</v>
      </c>
      <c r="AC53" s="39" t="s">
        <v>197</v>
      </c>
      <c r="AD53" s="40">
        <v>155000.0</v>
      </c>
      <c r="AE53" s="40">
        <v>155000.0</v>
      </c>
      <c r="AF53" s="39" t="s">
        <v>144</v>
      </c>
      <c r="AG53" s="39" t="s">
        <v>145</v>
      </c>
      <c r="AH53" s="39" t="s">
        <v>293</v>
      </c>
      <c r="AI53" s="42" t="s">
        <v>714</v>
      </c>
      <c r="AJ53" s="42" t="s">
        <v>715</v>
      </c>
    </row>
    <row r="54" ht="15.75" customHeight="1">
      <c r="A54" s="40">
        <v>53.0</v>
      </c>
      <c r="B54" s="39" t="s">
        <v>716</v>
      </c>
      <c r="C54" s="39" t="s">
        <v>717</v>
      </c>
      <c r="D54" s="39" t="s">
        <v>718</v>
      </c>
      <c r="E54" s="39" t="s">
        <v>717</v>
      </c>
      <c r="F54" s="39" t="s">
        <v>128</v>
      </c>
      <c r="G54" s="39" t="s">
        <v>719</v>
      </c>
      <c r="H54" s="39" t="s">
        <v>720</v>
      </c>
      <c r="I54" s="39"/>
      <c r="J54" s="39" t="s">
        <v>721</v>
      </c>
      <c r="K54" s="40">
        <v>4236.0</v>
      </c>
      <c r="L54" s="39" t="s">
        <v>722</v>
      </c>
      <c r="M54" s="39" t="s">
        <v>247</v>
      </c>
      <c r="N54" s="39" t="s">
        <v>248</v>
      </c>
      <c r="O54" s="39" t="s">
        <v>135</v>
      </c>
      <c r="P54" s="39" t="s">
        <v>136</v>
      </c>
      <c r="Q54" s="40">
        <v>94103.0</v>
      </c>
      <c r="R54" s="39" t="s">
        <v>137</v>
      </c>
      <c r="S54" s="39" t="s">
        <v>19</v>
      </c>
      <c r="T54" s="39" t="s">
        <v>160</v>
      </c>
      <c r="U54" s="39" t="s">
        <v>69</v>
      </c>
      <c r="V54" s="39" t="s">
        <v>139</v>
      </c>
      <c r="W54" s="41">
        <v>45587.0</v>
      </c>
      <c r="X54" s="40">
        <v>238.0</v>
      </c>
      <c r="Y54" s="39" t="s">
        <v>723</v>
      </c>
      <c r="Z54" s="41">
        <v>29720.0</v>
      </c>
      <c r="AA54" s="39" t="s">
        <v>163</v>
      </c>
      <c r="AB54" s="39" t="s">
        <v>180</v>
      </c>
      <c r="AC54" s="39" t="s">
        <v>197</v>
      </c>
      <c r="AD54" s="40">
        <v>156000.0</v>
      </c>
      <c r="AE54" s="40">
        <v>156000.0</v>
      </c>
      <c r="AF54" s="39" t="s">
        <v>144</v>
      </c>
      <c r="AG54" s="39" t="s">
        <v>145</v>
      </c>
      <c r="AH54" s="39" t="s">
        <v>146</v>
      </c>
      <c r="AI54" s="42" t="s">
        <v>724</v>
      </c>
      <c r="AJ54" s="42" t="s">
        <v>725</v>
      </c>
    </row>
    <row r="55" ht="15.75" customHeight="1">
      <c r="A55" s="40">
        <v>54.0</v>
      </c>
      <c r="B55" s="39" t="s">
        <v>726</v>
      </c>
      <c r="C55" s="39" t="s">
        <v>727</v>
      </c>
      <c r="D55" s="39" t="s">
        <v>728</v>
      </c>
      <c r="E55" s="39" t="s">
        <v>727</v>
      </c>
      <c r="F55" s="39" t="s">
        <v>186</v>
      </c>
      <c r="G55" s="39" t="s">
        <v>729</v>
      </c>
      <c r="H55" s="39" t="s">
        <v>730</v>
      </c>
      <c r="I55" s="39"/>
      <c r="J55" s="39" t="s">
        <v>731</v>
      </c>
      <c r="K55" s="40">
        <v>8332.0</v>
      </c>
      <c r="L55" s="39" t="s">
        <v>732</v>
      </c>
      <c r="M55" s="39" t="s">
        <v>260</v>
      </c>
      <c r="N55" s="39" t="s">
        <v>261</v>
      </c>
      <c r="O55" s="39" t="s">
        <v>193</v>
      </c>
      <c r="P55" s="39" t="s">
        <v>194</v>
      </c>
      <c r="Q55" s="40">
        <v>10011.0</v>
      </c>
      <c r="R55" s="39" t="s">
        <v>137</v>
      </c>
      <c r="S55" s="39" t="s">
        <v>19</v>
      </c>
      <c r="T55" s="39" t="s">
        <v>160</v>
      </c>
      <c r="U55" s="39" t="s">
        <v>74</v>
      </c>
      <c r="V55" s="39" t="s">
        <v>195</v>
      </c>
      <c r="W55" s="41">
        <v>45605.0</v>
      </c>
      <c r="X55" s="40">
        <v>238.0</v>
      </c>
      <c r="Y55" s="39" t="s">
        <v>733</v>
      </c>
      <c r="Z55" s="41">
        <v>27582.0</v>
      </c>
      <c r="AA55" s="39" t="s">
        <v>163</v>
      </c>
      <c r="AB55" s="39" t="s">
        <v>142</v>
      </c>
      <c r="AC55" s="39" t="s">
        <v>279</v>
      </c>
      <c r="AD55" s="40">
        <v>151000.0</v>
      </c>
      <c r="AE55" s="40">
        <v>151000.0</v>
      </c>
      <c r="AF55" s="39" t="s">
        <v>144</v>
      </c>
      <c r="AG55" s="39" t="s">
        <v>145</v>
      </c>
      <c r="AH55" s="39" t="s">
        <v>264</v>
      </c>
      <c r="AI55" s="42" t="s">
        <v>734</v>
      </c>
      <c r="AJ55" s="42" t="s">
        <v>735</v>
      </c>
    </row>
    <row r="56" ht="15.75" customHeight="1">
      <c r="A56" s="40">
        <v>55.0</v>
      </c>
      <c r="B56" s="39" t="s">
        <v>736</v>
      </c>
      <c r="C56" s="39" t="s">
        <v>737</v>
      </c>
      <c r="D56" s="39" t="s">
        <v>738</v>
      </c>
      <c r="E56" s="39" t="s">
        <v>737</v>
      </c>
      <c r="F56" s="39" t="s">
        <v>427</v>
      </c>
      <c r="G56" s="39" t="s">
        <v>739</v>
      </c>
      <c r="H56" s="39" t="s">
        <v>740</v>
      </c>
      <c r="I56" s="39"/>
      <c r="J56" s="39" t="s">
        <v>741</v>
      </c>
      <c r="K56" s="40">
        <v>5657.0</v>
      </c>
      <c r="L56" s="39" t="s">
        <v>742</v>
      </c>
      <c r="M56" s="39" t="s">
        <v>133</v>
      </c>
      <c r="N56" s="39" t="s">
        <v>134</v>
      </c>
      <c r="O56" s="39" t="s">
        <v>135</v>
      </c>
      <c r="P56" s="39" t="s">
        <v>136</v>
      </c>
      <c r="Q56" s="40">
        <v>94108.0</v>
      </c>
      <c r="R56" s="39" t="s">
        <v>137</v>
      </c>
      <c r="S56" s="39" t="s">
        <v>19</v>
      </c>
      <c r="T56" s="39" t="s">
        <v>236</v>
      </c>
      <c r="U56" s="39" t="s">
        <v>73</v>
      </c>
      <c r="V56" s="39" t="s">
        <v>139</v>
      </c>
      <c r="W56" s="41">
        <v>45906.0</v>
      </c>
      <c r="X56" s="40">
        <v>61.0</v>
      </c>
      <c r="Y56" s="39" t="s">
        <v>743</v>
      </c>
      <c r="Z56" s="41">
        <v>32096.0</v>
      </c>
      <c r="AA56" s="39" t="s">
        <v>141</v>
      </c>
      <c r="AB56" s="39" t="s">
        <v>142</v>
      </c>
      <c r="AC56" s="39" t="s">
        <v>181</v>
      </c>
      <c r="AD56" s="40">
        <v>126000.0</v>
      </c>
      <c r="AE56" s="40">
        <v>126000.0</v>
      </c>
      <c r="AF56" s="39" t="s">
        <v>144</v>
      </c>
      <c r="AG56" s="39" t="s">
        <v>145</v>
      </c>
      <c r="AH56" s="39" t="s">
        <v>146</v>
      </c>
      <c r="AI56" s="42" t="s">
        <v>744</v>
      </c>
      <c r="AJ56" s="42" t="s">
        <v>745</v>
      </c>
    </row>
    <row r="57" ht="15.75" customHeight="1">
      <c r="A57" s="40">
        <v>56.0</v>
      </c>
      <c r="B57" s="39" t="s">
        <v>746</v>
      </c>
      <c r="C57" s="39" t="s">
        <v>747</v>
      </c>
      <c r="D57" s="39" t="s">
        <v>386</v>
      </c>
      <c r="E57" s="39" t="s">
        <v>747</v>
      </c>
      <c r="F57" s="39" t="s">
        <v>128</v>
      </c>
      <c r="G57" s="39" t="s">
        <v>748</v>
      </c>
      <c r="H57" s="39" t="s">
        <v>749</v>
      </c>
      <c r="I57" s="39"/>
      <c r="J57" s="39" t="s">
        <v>750</v>
      </c>
      <c r="K57" s="40">
        <v>9093.0</v>
      </c>
      <c r="L57" s="39" t="s">
        <v>751</v>
      </c>
      <c r="M57" s="39" t="s">
        <v>752</v>
      </c>
      <c r="N57" s="39" t="s">
        <v>753</v>
      </c>
      <c r="O57" s="39" t="s">
        <v>754</v>
      </c>
      <c r="P57" s="39" t="s">
        <v>194</v>
      </c>
      <c r="Q57" s="40">
        <v>11249.0</v>
      </c>
      <c r="R57" s="39" t="s">
        <v>137</v>
      </c>
      <c r="S57" s="39" t="s">
        <v>19</v>
      </c>
      <c r="T57" s="39" t="s">
        <v>160</v>
      </c>
      <c r="U57" s="39" t="s">
        <v>69</v>
      </c>
      <c r="V57" s="39" t="s">
        <v>161</v>
      </c>
      <c r="W57" s="41">
        <v>45709.0</v>
      </c>
      <c r="X57" s="40">
        <v>238.0</v>
      </c>
      <c r="Y57" s="39" t="s">
        <v>755</v>
      </c>
      <c r="Z57" s="41">
        <v>28815.0</v>
      </c>
      <c r="AA57" s="39" t="s">
        <v>163</v>
      </c>
      <c r="AB57" s="39" t="s">
        <v>180</v>
      </c>
      <c r="AC57" s="39" t="s">
        <v>181</v>
      </c>
      <c r="AD57" s="40">
        <v>191000.0</v>
      </c>
      <c r="AE57" s="40">
        <v>191000.0</v>
      </c>
      <c r="AF57" s="39" t="s">
        <v>144</v>
      </c>
      <c r="AG57" s="39" t="s">
        <v>145</v>
      </c>
      <c r="AH57" s="39" t="s">
        <v>293</v>
      </c>
      <c r="AI57" s="42" t="s">
        <v>756</v>
      </c>
      <c r="AJ57" s="42" t="s">
        <v>757</v>
      </c>
    </row>
    <row r="58" ht="15.75" customHeight="1">
      <c r="A58" s="40">
        <v>57.0</v>
      </c>
      <c r="B58" s="39" t="s">
        <v>758</v>
      </c>
      <c r="C58" s="39" t="s">
        <v>759</v>
      </c>
      <c r="D58" s="39" t="s">
        <v>760</v>
      </c>
      <c r="E58" s="39" t="s">
        <v>759</v>
      </c>
      <c r="F58" s="39" t="s">
        <v>374</v>
      </c>
      <c r="G58" s="39" t="s">
        <v>761</v>
      </c>
      <c r="H58" s="39" t="s">
        <v>762</v>
      </c>
      <c r="I58" s="39"/>
      <c r="J58" s="39" t="s">
        <v>763</v>
      </c>
      <c r="K58" s="40">
        <v>9887.0</v>
      </c>
      <c r="L58" s="39" t="s">
        <v>764</v>
      </c>
      <c r="M58" s="39" t="s">
        <v>222</v>
      </c>
      <c r="N58" s="39" t="s">
        <v>223</v>
      </c>
      <c r="O58" s="39" t="s">
        <v>135</v>
      </c>
      <c r="P58" s="39" t="s">
        <v>136</v>
      </c>
      <c r="Q58" s="40">
        <v>94104.0</v>
      </c>
      <c r="R58" s="39" t="s">
        <v>137</v>
      </c>
      <c r="S58" s="39" t="s">
        <v>18</v>
      </c>
      <c r="T58" s="39" t="s">
        <v>572</v>
      </c>
      <c r="U58" s="39" t="s">
        <v>56</v>
      </c>
      <c r="V58" s="39" t="s">
        <v>139</v>
      </c>
      <c r="W58" s="41">
        <v>45342.0</v>
      </c>
      <c r="X58" s="40">
        <v>50.0</v>
      </c>
      <c r="Y58" s="39" t="s">
        <v>765</v>
      </c>
      <c r="Z58" s="41">
        <v>34942.0</v>
      </c>
      <c r="AA58" s="39" t="s">
        <v>163</v>
      </c>
      <c r="AB58" s="39" t="s">
        <v>180</v>
      </c>
      <c r="AC58" s="39" t="s">
        <v>197</v>
      </c>
      <c r="AD58" s="40">
        <v>75000.0</v>
      </c>
      <c r="AE58" s="40">
        <v>75000.0</v>
      </c>
      <c r="AF58" s="39" t="s">
        <v>144</v>
      </c>
      <c r="AG58" s="39" t="s">
        <v>145</v>
      </c>
      <c r="AH58" s="39" t="s">
        <v>146</v>
      </c>
      <c r="AI58" s="42" t="s">
        <v>766</v>
      </c>
      <c r="AJ58" s="42" t="s">
        <v>767</v>
      </c>
    </row>
    <row r="59" ht="15.75" customHeight="1">
      <c r="A59" s="40">
        <v>58.0</v>
      </c>
      <c r="B59" s="39" t="s">
        <v>768</v>
      </c>
      <c r="C59" s="39" t="s">
        <v>769</v>
      </c>
      <c r="D59" s="39" t="s">
        <v>770</v>
      </c>
      <c r="E59" s="39" t="s">
        <v>769</v>
      </c>
      <c r="F59" s="39" t="s">
        <v>128</v>
      </c>
      <c r="G59" s="39" t="s">
        <v>771</v>
      </c>
      <c r="H59" s="39" t="s">
        <v>772</v>
      </c>
      <c r="I59" s="39"/>
      <c r="J59" s="39" t="s">
        <v>773</v>
      </c>
      <c r="K59" s="40">
        <v>7355.0</v>
      </c>
      <c r="L59" s="39" t="s">
        <v>774</v>
      </c>
      <c r="M59" s="39" t="s">
        <v>752</v>
      </c>
      <c r="N59" s="39" t="s">
        <v>753</v>
      </c>
      <c r="O59" s="39" t="s">
        <v>754</v>
      </c>
      <c r="P59" s="39" t="s">
        <v>194</v>
      </c>
      <c r="Q59" s="40">
        <v>11249.0</v>
      </c>
      <c r="R59" s="39" t="s">
        <v>137</v>
      </c>
      <c r="S59" s="39" t="s">
        <v>18</v>
      </c>
      <c r="T59" s="39" t="s">
        <v>593</v>
      </c>
      <c r="U59" s="39" t="s">
        <v>58</v>
      </c>
      <c r="V59" s="39" t="s">
        <v>161</v>
      </c>
      <c r="W59" s="41">
        <v>45420.0</v>
      </c>
      <c r="X59" s="40">
        <v>102.0</v>
      </c>
      <c r="Y59" s="39" t="s">
        <v>775</v>
      </c>
      <c r="Z59" s="41">
        <v>36909.0</v>
      </c>
      <c r="AA59" s="39" t="s">
        <v>141</v>
      </c>
      <c r="AB59" s="39" t="s">
        <v>142</v>
      </c>
      <c r="AC59" s="39" t="s">
        <v>143</v>
      </c>
      <c r="AD59" s="40">
        <v>110000.0</v>
      </c>
      <c r="AE59" s="40">
        <v>110000.0</v>
      </c>
      <c r="AF59" s="39" t="s">
        <v>144</v>
      </c>
      <c r="AG59" s="39" t="s">
        <v>145</v>
      </c>
      <c r="AH59" s="39" t="s">
        <v>264</v>
      </c>
      <c r="AI59" s="42" t="s">
        <v>776</v>
      </c>
      <c r="AJ59" s="42" t="s">
        <v>777</v>
      </c>
    </row>
    <row r="60" ht="15.75" customHeight="1">
      <c r="A60" s="40">
        <v>59.0</v>
      </c>
      <c r="B60" s="39" t="s">
        <v>778</v>
      </c>
      <c r="C60" s="39" t="s">
        <v>779</v>
      </c>
      <c r="D60" s="39" t="s">
        <v>780</v>
      </c>
      <c r="E60" s="39" t="s">
        <v>779</v>
      </c>
      <c r="F60" s="39" t="s">
        <v>186</v>
      </c>
      <c r="G60" s="39" t="s">
        <v>781</v>
      </c>
      <c r="H60" s="39" t="s">
        <v>782</v>
      </c>
      <c r="I60" s="39"/>
      <c r="J60" s="39" t="s">
        <v>783</v>
      </c>
      <c r="K60" s="40">
        <v>2628.0</v>
      </c>
      <c r="L60" s="39" t="s">
        <v>784</v>
      </c>
      <c r="M60" s="39" t="s">
        <v>222</v>
      </c>
      <c r="N60" s="39" t="s">
        <v>223</v>
      </c>
      <c r="O60" s="39" t="s">
        <v>135</v>
      </c>
      <c r="P60" s="39" t="s">
        <v>136</v>
      </c>
      <c r="Q60" s="40">
        <v>94104.0</v>
      </c>
      <c r="R60" s="39" t="s">
        <v>137</v>
      </c>
      <c r="S60" s="39" t="s">
        <v>19</v>
      </c>
      <c r="T60" s="39" t="s">
        <v>138</v>
      </c>
      <c r="U60" s="39" t="s">
        <v>68</v>
      </c>
      <c r="V60" s="39" t="s">
        <v>139</v>
      </c>
      <c r="W60" s="41">
        <v>45406.0</v>
      </c>
      <c r="X60" s="40">
        <v>172.0</v>
      </c>
      <c r="Y60" s="39" t="s">
        <v>785</v>
      </c>
      <c r="Z60" s="41">
        <v>32295.0</v>
      </c>
      <c r="AA60" s="39" t="s">
        <v>163</v>
      </c>
      <c r="AB60" s="39" t="s">
        <v>142</v>
      </c>
      <c r="AC60" s="39" t="s">
        <v>211</v>
      </c>
      <c r="AD60" s="40">
        <v>153000.0</v>
      </c>
      <c r="AE60" s="40">
        <v>153000.0</v>
      </c>
      <c r="AF60" s="39" t="s">
        <v>144</v>
      </c>
      <c r="AG60" s="39" t="s">
        <v>145</v>
      </c>
      <c r="AH60" s="39" t="s">
        <v>146</v>
      </c>
      <c r="AI60" s="42" t="s">
        <v>786</v>
      </c>
      <c r="AJ60" s="42" t="s">
        <v>787</v>
      </c>
    </row>
    <row r="61" ht="15.75" customHeight="1">
      <c r="A61" s="40">
        <v>60.0</v>
      </c>
      <c r="B61" s="39" t="s">
        <v>788</v>
      </c>
      <c r="C61" s="39" t="s">
        <v>789</v>
      </c>
      <c r="D61" s="39" t="s">
        <v>790</v>
      </c>
      <c r="E61" s="39" t="s">
        <v>789</v>
      </c>
      <c r="F61" s="39" t="s">
        <v>128</v>
      </c>
      <c r="G61" s="39" t="s">
        <v>791</v>
      </c>
      <c r="H61" s="39" t="s">
        <v>792</v>
      </c>
      <c r="I61" s="39"/>
      <c r="J61" s="39" t="s">
        <v>793</v>
      </c>
      <c r="K61" s="40">
        <v>5856.0</v>
      </c>
      <c r="L61" s="39" t="s">
        <v>794</v>
      </c>
      <c r="M61" s="39" t="s">
        <v>247</v>
      </c>
      <c r="N61" s="39" t="s">
        <v>248</v>
      </c>
      <c r="O61" s="39" t="s">
        <v>135</v>
      </c>
      <c r="P61" s="39" t="s">
        <v>136</v>
      </c>
      <c r="Q61" s="40">
        <v>94103.0</v>
      </c>
      <c r="R61" s="39" t="s">
        <v>137</v>
      </c>
      <c r="S61" s="39" t="s">
        <v>19</v>
      </c>
      <c r="T61" s="39" t="s">
        <v>160</v>
      </c>
      <c r="U61" s="39" t="s">
        <v>77</v>
      </c>
      <c r="V61" s="39" t="s">
        <v>139</v>
      </c>
      <c r="W61" s="41">
        <v>45565.0</v>
      </c>
      <c r="X61" s="40">
        <v>94.0</v>
      </c>
      <c r="Y61" s="39" t="s">
        <v>795</v>
      </c>
      <c r="Z61" s="41">
        <v>33347.0</v>
      </c>
      <c r="AA61" s="39" t="s">
        <v>141</v>
      </c>
      <c r="AB61" s="39" t="s">
        <v>304</v>
      </c>
      <c r="AC61" s="39" t="s">
        <v>181</v>
      </c>
      <c r="AD61" s="40">
        <v>144000.0</v>
      </c>
      <c r="AE61" s="40">
        <v>144000.0</v>
      </c>
      <c r="AF61" s="39" t="s">
        <v>144</v>
      </c>
      <c r="AG61" s="39" t="s">
        <v>145</v>
      </c>
      <c r="AH61" s="39" t="s">
        <v>293</v>
      </c>
      <c r="AI61" s="42" t="s">
        <v>796</v>
      </c>
      <c r="AJ61" s="42" t="s">
        <v>797</v>
      </c>
    </row>
    <row r="62" ht="15.75" customHeight="1">
      <c r="A62" s="40">
        <v>61.0</v>
      </c>
      <c r="B62" s="39" t="s">
        <v>798</v>
      </c>
      <c r="C62" s="39" t="s">
        <v>799</v>
      </c>
      <c r="D62" s="39" t="s">
        <v>800</v>
      </c>
      <c r="E62" s="39" t="s">
        <v>799</v>
      </c>
      <c r="F62" s="39" t="s">
        <v>270</v>
      </c>
      <c r="G62" s="39" t="s">
        <v>801</v>
      </c>
      <c r="H62" s="39" t="s">
        <v>802</v>
      </c>
      <c r="I62" s="39"/>
      <c r="J62" s="39" t="s">
        <v>803</v>
      </c>
      <c r="K62" s="40">
        <v>7275.0</v>
      </c>
      <c r="L62" s="39" t="s">
        <v>804</v>
      </c>
      <c r="M62" s="39" t="s">
        <v>379</v>
      </c>
      <c r="N62" s="39" t="s">
        <v>380</v>
      </c>
      <c r="O62" s="39" t="s">
        <v>193</v>
      </c>
      <c r="P62" s="39" t="s">
        <v>194</v>
      </c>
      <c r="Q62" s="40">
        <v>10036.0</v>
      </c>
      <c r="R62" s="39" t="s">
        <v>137</v>
      </c>
      <c r="S62" s="39" t="s">
        <v>19</v>
      </c>
      <c r="T62" s="39" t="s">
        <v>236</v>
      </c>
      <c r="U62" s="39" t="s">
        <v>69</v>
      </c>
      <c r="V62" s="39" t="s">
        <v>195</v>
      </c>
      <c r="W62" s="41">
        <v>45347.0</v>
      </c>
      <c r="X62" s="40">
        <v>237.0</v>
      </c>
      <c r="Y62" s="39" t="s">
        <v>805</v>
      </c>
      <c r="Z62" s="41">
        <v>32856.0</v>
      </c>
      <c r="AA62" s="39" t="s">
        <v>163</v>
      </c>
      <c r="AB62" s="39" t="s">
        <v>180</v>
      </c>
      <c r="AC62" s="39" t="s">
        <v>181</v>
      </c>
      <c r="AD62" s="40">
        <v>160000.0</v>
      </c>
      <c r="AE62" s="40">
        <v>160000.0</v>
      </c>
      <c r="AF62" s="39" t="s">
        <v>144</v>
      </c>
      <c r="AG62" s="39" t="s">
        <v>145</v>
      </c>
      <c r="AH62" s="39" t="s">
        <v>146</v>
      </c>
      <c r="AI62" s="42" t="s">
        <v>806</v>
      </c>
      <c r="AJ62" s="42" t="s">
        <v>807</v>
      </c>
    </row>
    <row r="63" ht="15.75" customHeight="1">
      <c r="A63" s="40">
        <v>62.0</v>
      </c>
      <c r="B63" s="39" t="s">
        <v>808</v>
      </c>
      <c r="C63" s="39" t="s">
        <v>809</v>
      </c>
      <c r="D63" s="39" t="s">
        <v>810</v>
      </c>
      <c r="E63" s="39" t="s">
        <v>809</v>
      </c>
      <c r="F63" s="39" t="s">
        <v>128</v>
      </c>
      <c r="G63" s="39" t="s">
        <v>811</v>
      </c>
      <c r="H63" s="39" t="s">
        <v>812</v>
      </c>
      <c r="I63" s="39"/>
      <c r="J63" s="39" t="s">
        <v>813</v>
      </c>
      <c r="K63" s="40">
        <v>1264.0</v>
      </c>
      <c r="L63" s="39" t="s">
        <v>814</v>
      </c>
      <c r="M63" s="39" t="s">
        <v>815</v>
      </c>
      <c r="N63" s="39" t="s">
        <v>816</v>
      </c>
      <c r="O63" s="39" t="s">
        <v>817</v>
      </c>
      <c r="P63" s="39" t="s">
        <v>818</v>
      </c>
      <c r="Q63" s="40">
        <v>60606.0</v>
      </c>
      <c r="R63" s="39" t="s">
        <v>137</v>
      </c>
      <c r="S63" s="39" t="s">
        <v>19</v>
      </c>
      <c r="T63" s="39" t="s">
        <v>160</v>
      </c>
      <c r="U63" s="39" t="s">
        <v>75</v>
      </c>
      <c r="V63" s="39" t="s">
        <v>161</v>
      </c>
      <c r="W63" s="41">
        <v>44720.0</v>
      </c>
      <c r="X63" s="40">
        <v>76.0</v>
      </c>
      <c r="Y63" s="39" t="s">
        <v>819</v>
      </c>
      <c r="Z63" s="41">
        <v>31851.0</v>
      </c>
      <c r="AA63" s="39" t="s">
        <v>163</v>
      </c>
      <c r="AB63" s="39" t="s">
        <v>142</v>
      </c>
      <c r="AC63" s="39" t="s">
        <v>197</v>
      </c>
      <c r="AD63" s="40">
        <v>183000.0</v>
      </c>
      <c r="AE63" s="40">
        <v>183000.0</v>
      </c>
      <c r="AF63" s="39" t="s">
        <v>144</v>
      </c>
      <c r="AG63" s="39" t="s">
        <v>145</v>
      </c>
      <c r="AH63" s="39" t="s">
        <v>293</v>
      </c>
      <c r="AI63" s="42" t="s">
        <v>820</v>
      </c>
      <c r="AJ63" s="42" t="s">
        <v>821</v>
      </c>
    </row>
    <row r="64" ht="15.75" customHeight="1">
      <c r="A64" s="40">
        <v>63.0</v>
      </c>
      <c r="B64" s="39" t="s">
        <v>822</v>
      </c>
      <c r="C64" s="39" t="s">
        <v>823</v>
      </c>
      <c r="D64" s="39" t="s">
        <v>824</v>
      </c>
      <c r="E64" s="39" t="s">
        <v>823</v>
      </c>
      <c r="F64" s="39" t="s">
        <v>128</v>
      </c>
      <c r="G64" s="39" t="s">
        <v>825</v>
      </c>
      <c r="H64" s="39" t="s">
        <v>826</v>
      </c>
      <c r="I64" s="39"/>
      <c r="J64" s="39" t="s">
        <v>827</v>
      </c>
      <c r="K64" s="40">
        <v>2757.0</v>
      </c>
      <c r="L64" s="39" t="s">
        <v>828</v>
      </c>
      <c r="M64" s="39" t="s">
        <v>247</v>
      </c>
      <c r="N64" s="39" t="s">
        <v>248</v>
      </c>
      <c r="O64" s="39" t="s">
        <v>135</v>
      </c>
      <c r="P64" s="39" t="s">
        <v>136</v>
      </c>
      <c r="Q64" s="40">
        <v>94103.0</v>
      </c>
      <c r="R64" s="39" t="s">
        <v>137</v>
      </c>
      <c r="S64" s="39" t="s">
        <v>19</v>
      </c>
      <c r="T64" s="39" t="s">
        <v>138</v>
      </c>
      <c r="U64" s="39" t="s">
        <v>70</v>
      </c>
      <c r="V64" s="39" t="s">
        <v>139</v>
      </c>
      <c r="W64" s="41">
        <v>45220.0</v>
      </c>
      <c r="X64" s="40">
        <v>172.0</v>
      </c>
      <c r="Y64" s="39" t="s">
        <v>829</v>
      </c>
      <c r="Z64" s="41">
        <v>31574.0</v>
      </c>
      <c r="AA64" s="39" t="s">
        <v>141</v>
      </c>
      <c r="AB64" s="39" t="s">
        <v>142</v>
      </c>
      <c r="AC64" s="39" t="s">
        <v>197</v>
      </c>
      <c r="AD64" s="40">
        <v>125000.0</v>
      </c>
      <c r="AE64" s="40">
        <v>125000.0</v>
      </c>
      <c r="AF64" s="39" t="s">
        <v>144</v>
      </c>
      <c r="AG64" s="39" t="s">
        <v>145</v>
      </c>
      <c r="AH64" s="39" t="s">
        <v>146</v>
      </c>
      <c r="AI64" s="42" t="s">
        <v>830</v>
      </c>
      <c r="AJ64" s="42" t="s">
        <v>831</v>
      </c>
    </row>
    <row r="65" ht="15.75" customHeight="1">
      <c r="A65" s="40">
        <v>64.0</v>
      </c>
      <c r="B65" s="39" t="s">
        <v>832</v>
      </c>
      <c r="C65" s="39" t="s">
        <v>833</v>
      </c>
      <c r="D65" s="39" t="s">
        <v>834</v>
      </c>
      <c r="E65" s="39" t="s">
        <v>833</v>
      </c>
      <c r="F65" s="39" t="s">
        <v>186</v>
      </c>
      <c r="G65" s="39" t="s">
        <v>835</v>
      </c>
      <c r="H65" s="39" t="s">
        <v>836</v>
      </c>
      <c r="I65" s="39"/>
      <c r="J65" s="39" t="s">
        <v>837</v>
      </c>
      <c r="K65" s="40">
        <v>1795.0</v>
      </c>
      <c r="L65" s="39" t="s">
        <v>838</v>
      </c>
      <c r="M65" s="39" t="s">
        <v>839</v>
      </c>
      <c r="N65" s="39" t="s">
        <v>840</v>
      </c>
      <c r="O65" s="39" t="s">
        <v>841</v>
      </c>
      <c r="P65" s="39" t="s">
        <v>842</v>
      </c>
      <c r="Q65" s="40">
        <v>30309.0</v>
      </c>
      <c r="R65" s="39" t="s">
        <v>137</v>
      </c>
      <c r="S65" s="39" t="s">
        <v>19</v>
      </c>
      <c r="T65" s="39" t="s">
        <v>236</v>
      </c>
      <c r="U65" s="39" t="s">
        <v>77</v>
      </c>
      <c r="V65" s="39" t="s">
        <v>161</v>
      </c>
      <c r="W65" s="41">
        <v>45280.0</v>
      </c>
      <c r="X65" s="40">
        <v>77.0</v>
      </c>
      <c r="Y65" s="39" t="s">
        <v>843</v>
      </c>
      <c r="Z65" s="41">
        <v>34548.0</v>
      </c>
      <c r="AA65" s="39" t="s">
        <v>163</v>
      </c>
      <c r="AB65" s="39" t="s">
        <v>180</v>
      </c>
      <c r="AC65" s="39" t="s">
        <v>181</v>
      </c>
      <c r="AD65" s="40">
        <v>127000.0</v>
      </c>
      <c r="AE65" s="40">
        <v>127000.0</v>
      </c>
      <c r="AF65" s="39" t="s">
        <v>144</v>
      </c>
      <c r="AG65" s="39" t="s">
        <v>145</v>
      </c>
      <c r="AH65" s="39" t="s">
        <v>146</v>
      </c>
      <c r="AI65" s="42" t="s">
        <v>844</v>
      </c>
      <c r="AJ65" s="42" t="s">
        <v>845</v>
      </c>
    </row>
    <row r="66" ht="15.75" customHeight="1">
      <c r="A66" s="40">
        <v>65.0</v>
      </c>
      <c r="B66" s="39" t="s">
        <v>846</v>
      </c>
      <c r="C66" s="39" t="s">
        <v>847</v>
      </c>
      <c r="D66" s="39" t="s">
        <v>848</v>
      </c>
      <c r="E66" s="39" t="s">
        <v>847</v>
      </c>
      <c r="F66" s="39" t="s">
        <v>427</v>
      </c>
      <c r="G66" s="39" t="s">
        <v>849</v>
      </c>
      <c r="H66" s="39" t="s">
        <v>850</v>
      </c>
      <c r="I66" s="39"/>
      <c r="J66" s="39" t="s">
        <v>851</v>
      </c>
      <c r="K66" s="40">
        <v>8419.0</v>
      </c>
      <c r="L66" s="39" t="s">
        <v>852</v>
      </c>
      <c r="M66" s="39" t="s">
        <v>815</v>
      </c>
      <c r="N66" s="39" t="s">
        <v>816</v>
      </c>
      <c r="O66" s="39" t="s">
        <v>817</v>
      </c>
      <c r="P66" s="39" t="s">
        <v>818</v>
      </c>
      <c r="Q66" s="40">
        <v>60606.0</v>
      </c>
      <c r="R66" s="39" t="s">
        <v>137</v>
      </c>
      <c r="S66" s="39" t="s">
        <v>19</v>
      </c>
      <c r="T66" s="39" t="s">
        <v>160</v>
      </c>
      <c r="U66" s="39" t="s">
        <v>77</v>
      </c>
      <c r="V66" s="39" t="s">
        <v>161</v>
      </c>
      <c r="W66" s="41">
        <v>45573.0</v>
      </c>
      <c r="X66" s="40">
        <v>100.0</v>
      </c>
      <c r="Y66" s="39" t="s">
        <v>853</v>
      </c>
      <c r="Z66" s="41">
        <v>31106.0</v>
      </c>
      <c r="AA66" s="39" t="s">
        <v>163</v>
      </c>
      <c r="AB66" s="39" t="s">
        <v>142</v>
      </c>
      <c r="AC66" s="39" t="s">
        <v>292</v>
      </c>
      <c r="AD66" s="40">
        <v>112000.0</v>
      </c>
      <c r="AE66" s="40">
        <v>112000.0</v>
      </c>
      <c r="AF66" s="39" t="s">
        <v>144</v>
      </c>
      <c r="AG66" s="39" t="s">
        <v>145</v>
      </c>
      <c r="AH66" s="39" t="s">
        <v>146</v>
      </c>
      <c r="AI66" s="42" t="s">
        <v>854</v>
      </c>
      <c r="AJ66" s="42" t="s">
        <v>855</v>
      </c>
    </row>
    <row r="67" ht="15.75" customHeight="1">
      <c r="A67" s="40">
        <v>66.0</v>
      </c>
      <c r="B67" s="39" t="s">
        <v>856</v>
      </c>
      <c r="C67" s="39" t="s">
        <v>857</v>
      </c>
      <c r="D67" s="39" t="s">
        <v>858</v>
      </c>
      <c r="E67" s="39" t="s">
        <v>857</v>
      </c>
      <c r="F67" s="39" t="s">
        <v>255</v>
      </c>
      <c r="G67" s="39" t="s">
        <v>859</v>
      </c>
      <c r="H67" s="39" t="s">
        <v>860</v>
      </c>
      <c r="I67" s="39"/>
      <c r="J67" s="39" t="s">
        <v>861</v>
      </c>
      <c r="K67" s="40">
        <v>6428.0</v>
      </c>
      <c r="L67" s="39" t="s">
        <v>862</v>
      </c>
      <c r="M67" s="39" t="s">
        <v>379</v>
      </c>
      <c r="N67" s="39" t="s">
        <v>380</v>
      </c>
      <c r="O67" s="39" t="s">
        <v>193</v>
      </c>
      <c r="P67" s="39" t="s">
        <v>194</v>
      </c>
      <c r="Q67" s="40">
        <v>10036.0</v>
      </c>
      <c r="R67" s="39" t="s">
        <v>137</v>
      </c>
      <c r="S67" s="39" t="s">
        <v>19</v>
      </c>
      <c r="T67" s="39" t="s">
        <v>160</v>
      </c>
      <c r="U67" s="39" t="s">
        <v>75</v>
      </c>
      <c r="V67" s="39" t="s">
        <v>195</v>
      </c>
      <c r="W67" s="41">
        <v>45326.0</v>
      </c>
      <c r="X67" s="40">
        <v>84.0</v>
      </c>
      <c r="Y67" s="39" t="s">
        <v>863</v>
      </c>
      <c r="Z67" s="41">
        <v>32801.0</v>
      </c>
      <c r="AA67" s="39" t="s">
        <v>163</v>
      </c>
      <c r="AB67" s="39" t="s">
        <v>142</v>
      </c>
      <c r="AC67" s="39" t="s">
        <v>279</v>
      </c>
      <c r="AD67" s="40">
        <v>210000.0</v>
      </c>
      <c r="AE67" s="40">
        <v>210000.0</v>
      </c>
      <c r="AF67" s="39" t="s">
        <v>144</v>
      </c>
      <c r="AG67" s="39" t="s">
        <v>145</v>
      </c>
      <c r="AH67" s="39" t="s">
        <v>146</v>
      </c>
      <c r="AI67" s="42" t="s">
        <v>864</v>
      </c>
      <c r="AJ67" s="42" t="s">
        <v>865</v>
      </c>
    </row>
    <row r="68" ht="15.75" customHeight="1">
      <c r="A68" s="40">
        <v>67.0</v>
      </c>
      <c r="B68" s="39" t="s">
        <v>866</v>
      </c>
      <c r="C68" s="39" t="s">
        <v>867</v>
      </c>
      <c r="D68" s="39" t="s">
        <v>868</v>
      </c>
      <c r="E68" s="39" t="s">
        <v>867</v>
      </c>
      <c r="F68" s="39" t="s">
        <v>203</v>
      </c>
      <c r="G68" s="39" t="s">
        <v>869</v>
      </c>
      <c r="H68" s="39" t="s">
        <v>870</v>
      </c>
      <c r="I68" s="39"/>
      <c r="J68" s="39" t="s">
        <v>871</v>
      </c>
      <c r="K68" s="40">
        <v>8252.0</v>
      </c>
      <c r="L68" s="39" t="s">
        <v>872</v>
      </c>
      <c r="M68" s="39" t="s">
        <v>133</v>
      </c>
      <c r="N68" s="39" t="s">
        <v>134</v>
      </c>
      <c r="O68" s="39" t="s">
        <v>135</v>
      </c>
      <c r="P68" s="39" t="s">
        <v>136</v>
      </c>
      <c r="Q68" s="40">
        <v>94108.0</v>
      </c>
      <c r="R68" s="39" t="s">
        <v>137</v>
      </c>
      <c r="S68" s="39" t="s">
        <v>19</v>
      </c>
      <c r="T68" s="39" t="s">
        <v>236</v>
      </c>
      <c r="U68" s="39" t="s">
        <v>71</v>
      </c>
      <c r="V68" s="39" t="s">
        <v>139</v>
      </c>
      <c r="W68" s="41">
        <v>45695.0</v>
      </c>
      <c r="X68" s="40">
        <v>82.0</v>
      </c>
      <c r="Y68" s="39" t="s">
        <v>873</v>
      </c>
      <c r="Z68" s="41">
        <v>36920.0</v>
      </c>
      <c r="AA68" s="39" t="s">
        <v>141</v>
      </c>
      <c r="AB68" s="39" t="s">
        <v>180</v>
      </c>
      <c r="AC68" s="39" t="s">
        <v>143</v>
      </c>
      <c r="AD68" s="40">
        <v>150000.0</v>
      </c>
      <c r="AE68" s="40">
        <v>150000.0</v>
      </c>
      <c r="AF68" s="39" t="s">
        <v>144</v>
      </c>
      <c r="AG68" s="39" t="s">
        <v>145</v>
      </c>
      <c r="AH68" s="39" t="s">
        <v>146</v>
      </c>
      <c r="AI68" s="42" t="s">
        <v>874</v>
      </c>
      <c r="AJ68" s="42" t="s">
        <v>875</v>
      </c>
    </row>
    <row r="69" ht="15.75" customHeight="1">
      <c r="A69" s="40">
        <v>68.0</v>
      </c>
      <c r="B69" s="39" t="s">
        <v>876</v>
      </c>
      <c r="C69" s="39" t="s">
        <v>877</v>
      </c>
      <c r="D69" s="39" t="s">
        <v>878</v>
      </c>
      <c r="E69" s="39" t="s">
        <v>877</v>
      </c>
      <c r="F69" s="39" t="s">
        <v>231</v>
      </c>
      <c r="G69" s="39" t="s">
        <v>879</v>
      </c>
      <c r="H69" s="39" t="s">
        <v>880</v>
      </c>
      <c r="I69" s="39"/>
      <c r="J69" s="39" t="s">
        <v>881</v>
      </c>
      <c r="K69" s="40">
        <v>3948.0</v>
      </c>
      <c r="L69" s="39" t="s">
        <v>882</v>
      </c>
      <c r="M69" s="39" t="s">
        <v>247</v>
      </c>
      <c r="N69" s="39" t="s">
        <v>248</v>
      </c>
      <c r="O69" s="39" t="s">
        <v>135</v>
      </c>
      <c r="P69" s="39" t="s">
        <v>136</v>
      </c>
      <c r="Q69" s="40">
        <v>94103.0</v>
      </c>
      <c r="R69" s="39" t="s">
        <v>137</v>
      </c>
      <c r="S69" s="39" t="s">
        <v>18</v>
      </c>
      <c r="T69" s="39" t="s">
        <v>593</v>
      </c>
      <c r="U69" s="39" t="s">
        <v>60</v>
      </c>
      <c r="V69" s="39" t="s">
        <v>139</v>
      </c>
      <c r="W69" s="41">
        <v>45463.0</v>
      </c>
      <c r="X69" s="40">
        <v>102.0</v>
      </c>
      <c r="Y69" s="39" t="s">
        <v>883</v>
      </c>
      <c r="Z69" s="41">
        <v>30131.0</v>
      </c>
      <c r="AA69" s="39" t="s">
        <v>279</v>
      </c>
      <c r="AB69" s="39" t="s">
        <v>142</v>
      </c>
      <c r="AC69" s="39" t="s">
        <v>279</v>
      </c>
      <c r="AD69" s="40">
        <v>191000.0</v>
      </c>
      <c r="AE69" s="40">
        <v>191000.0</v>
      </c>
      <c r="AF69" s="39" t="s">
        <v>144</v>
      </c>
      <c r="AG69" s="39" t="s">
        <v>145</v>
      </c>
      <c r="AH69" s="39" t="s">
        <v>293</v>
      </c>
      <c r="AI69" s="42" t="s">
        <v>884</v>
      </c>
      <c r="AJ69" s="42" t="s">
        <v>885</v>
      </c>
    </row>
    <row r="70" ht="15.75" customHeight="1">
      <c r="A70" s="40">
        <v>69.0</v>
      </c>
      <c r="B70" s="39" t="s">
        <v>886</v>
      </c>
      <c r="C70" s="39" t="s">
        <v>887</v>
      </c>
      <c r="D70" s="39" t="s">
        <v>888</v>
      </c>
      <c r="E70" s="39" t="s">
        <v>887</v>
      </c>
      <c r="F70" s="39" t="s">
        <v>255</v>
      </c>
      <c r="G70" s="39" t="s">
        <v>889</v>
      </c>
      <c r="H70" s="39" t="s">
        <v>890</v>
      </c>
      <c r="I70" s="39"/>
      <c r="J70" s="39" t="s">
        <v>891</v>
      </c>
      <c r="K70" s="40">
        <v>9972.0</v>
      </c>
      <c r="L70" s="39" t="s">
        <v>892</v>
      </c>
      <c r="M70" s="39" t="s">
        <v>208</v>
      </c>
      <c r="N70" s="39" t="s">
        <v>209</v>
      </c>
      <c r="O70" s="39" t="s">
        <v>135</v>
      </c>
      <c r="P70" s="39" t="s">
        <v>136</v>
      </c>
      <c r="Q70" s="40">
        <v>94105.0</v>
      </c>
      <c r="R70" s="39" t="s">
        <v>137</v>
      </c>
      <c r="S70" s="39" t="s">
        <v>18</v>
      </c>
      <c r="T70" s="39" t="s">
        <v>593</v>
      </c>
      <c r="U70" s="39" t="s">
        <v>58</v>
      </c>
      <c r="V70" s="39" t="s">
        <v>139</v>
      </c>
      <c r="W70" s="41">
        <v>44856.0</v>
      </c>
      <c r="X70" s="40">
        <v>41.0</v>
      </c>
      <c r="Y70" s="39" t="s">
        <v>893</v>
      </c>
      <c r="Z70" s="41">
        <v>36253.0</v>
      </c>
      <c r="AA70" s="39" t="s">
        <v>263</v>
      </c>
      <c r="AB70" s="39" t="s">
        <v>225</v>
      </c>
      <c r="AC70" s="39" t="s">
        <v>181</v>
      </c>
      <c r="AD70" s="40">
        <v>91000.0</v>
      </c>
      <c r="AE70" s="40">
        <v>91000.0</v>
      </c>
      <c r="AF70" s="39" t="s">
        <v>144</v>
      </c>
      <c r="AG70" s="39" t="s">
        <v>145</v>
      </c>
      <c r="AH70" s="39" t="s">
        <v>264</v>
      </c>
      <c r="AI70" s="42" t="s">
        <v>894</v>
      </c>
      <c r="AJ70" s="42" t="s">
        <v>895</v>
      </c>
    </row>
    <row r="71" ht="15.75" customHeight="1">
      <c r="A71" s="40">
        <v>70.0</v>
      </c>
      <c r="B71" s="39" t="s">
        <v>896</v>
      </c>
      <c r="C71" s="39" t="s">
        <v>897</v>
      </c>
      <c r="D71" s="39" t="s">
        <v>898</v>
      </c>
      <c r="E71" s="39" t="s">
        <v>897</v>
      </c>
      <c r="F71" s="39" t="s">
        <v>255</v>
      </c>
      <c r="G71" s="39" t="s">
        <v>899</v>
      </c>
      <c r="H71" s="39" t="s">
        <v>900</v>
      </c>
      <c r="I71" s="39"/>
      <c r="J71" s="39" t="s">
        <v>901</v>
      </c>
      <c r="K71" s="40">
        <v>6811.0</v>
      </c>
      <c r="L71" s="39" t="s">
        <v>902</v>
      </c>
      <c r="M71" s="39" t="s">
        <v>903</v>
      </c>
      <c r="N71" s="39"/>
      <c r="O71" s="39" t="s">
        <v>174</v>
      </c>
      <c r="P71" s="39" t="s">
        <v>175</v>
      </c>
      <c r="Q71" s="39" t="s">
        <v>904</v>
      </c>
      <c r="R71" s="39" t="s">
        <v>177</v>
      </c>
      <c r="S71" s="39" t="s">
        <v>17</v>
      </c>
      <c r="T71" s="39" t="s">
        <v>17</v>
      </c>
      <c r="U71" s="39" t="s">
        <v>52</v>
      </c>
      <c r="V71" s="39" t="s">
        <v>178</v>
      </c>
      <c r="W71" s="41">
        <v>45362.0</v>
      </c>
      <c r="X71" s="40">
        <v>240.0</v>
      </c>
      <c r="Y71" s="39" t="s">
        <v>905</v>
      </c>
      <c r="Z71" s="41">
        <v>29240.0</v>
      </c>
      <c r="AA71" s="39" t="s">
        <v>141</v>
      </c>
      <c r="AB71" s="39" t="s">
        <v>225</v>
      </c>
      <c r="AC71" s="39" t="s">
        <v>181</v>
      </c>
      <c r="AD71" s="40">
        <v>210000.0</v>
      </c>
      <c r="AE71" s="40">
        <v>210000.0</v>
      </c>
      <c r="AF71" s="39" t="s">
        <v>144</v>
      </c>
      <c r="AG71" s="39" t="s">
        <v>145</v>
      </c>
      <c r="AH71" s="39" t="s">
        <v>293</v>
      </c>
      <c r="AI71" s="42" t="s">
        <v>906</v>
      </c>
      <c r="AJ71" s="42" t="s">
        <v>907</v>
      </c>
    </row>
    <row r="72" ht="15.75" customHeight="1">
      <c r="A72" s="40">
        <v>71.0</v>
      </c>
      <c r="B72" s="39" t="s">
        <v>908</v>
      </c>
      <c r="C72" s="39" t="s">
        <v>909</v>
      </c>
      <c r="D72" s="39" t="s">
        <v>910</v>
      </c>
      <c r="E72" s="39" t="s">
        <v>909</v>
      </c>
      <c r="F72" s="39" t="s">
        <v>255</v>
      </c>
      <c r="G72" s="39" t="s">
        <v>911</v>
      </c>
      <c r="H72" s="39" t="s">
        <v>912</v>
      </c>
      <c r="I72" s="39"/>
      <c r="J72" s="39" t="s">
        <v>913</v>
      </c>
      <c r="K72" s="40">
        <v>5296.0</v>
      </c>
      <c r="L72" s="39" t="s">
        <v>914</v>
      </c>
      <c r="M72" s="39" t="s">
        <v>133</v>
      </c>
      <c r="N72" s="39" t="s">
        <v>134</v>
      </c>
      <c r="O72" s="39" t="s">
        <v>135</v>
      </c>
      <c r="P72" s="39" t="s">
        <v>136</v>
      </c>
      <c r="Q72" s="40">
        <v>94108.0</v>
      </c>
      <c r="R72" s="39" t="s">
        <v>137</v>
      </c>
      <c r="S72" s="39" t="s">
        <v>19</v>
      </c>
      <c r="T72" s="39" t="s">
        <v>236</v>
      </c>
      <c r="U72" s="39" t="s">
        <v>76</v>
      </c>
      <c r="V72" s="39" t="s">
        <v>139</v>
      </c>
      <c r="W72" s="41">
        <v>45221.0</v>
      </c>
      <c r="X72" s="40">
        <v>111.0</v>
      </c>
      <c r="Y72" s="39" t="s">
        <v>915</v>
      </c>
      <c r="Z72" s="41">
        <v>30746.0</v>
      </c>
      <c r="AA72" s="39" t="s">
        <v>141</v>
      </c>
      <c r="AB72" s="39" t="s">
        <v>142</v>
      </c>
      <c r="AC72" s="39" t="s">
        <v>143</v>
      </c>
      <c r="AD72" s="40">
        <v>183000.0</v>
      </c>
      <c r="AE72" s="40">
        <v>183000.0</v>
      </c>
      <c r="AF72" s="39" t="s">
        <v>144</v>
      </c>
      <c r="AG72" s="39" t="s">
        <v>145</v>
      </c>
      <c r="AH72" s="39" t="s">
        <v>146</v>
      </c>
      <c r="AI72" s="42" t="s">
        <v>916</v>
      </c>
      <c r="AJ72" s="42" t="s">
        <v>917</v>
      </c>
    </row>
    <row r="73" ht="15.75" customHeight="1">
      <c r="A73" s="40">
        <v>72.0</v>
      </c>
      <c r="B73" s="39" t="s">
        <v>918</v>
      </c>
      <c r="C73" s="39" t="s">
        <v>919</v>
      </c>
      <c r="D73" s="39" t="s">
        <v>920</v>
      </c>
      <c r="E73" s="39" t="s">
        <v>919</v>
      </c>
      <c r="F73" s="39" t="s">
        <v>152</v>
      </c>
      <c r="G73" s="39" t="s">
        <v>921</v>
      </c>
      <c r="H73" s="39" t="s">
        <v>922</v>
      </c>
      <c r="I73" s="39"/>
      <c r="J73" s="39" t="s">
        <v>923</v>
      </c>
      <c r="K73" s="40">
        <v>4480.0</v>
      </c>
      <c r="L73" s="39" t="s">
        <v>924</v>
      </c>
      <c r="M73" s="39" t="s">
        <v>247</v>
      </c>
      <c r="N73" s="39" t="s">
        <v>248</v>
      </c>
      <c r="O73" s="39" t="s">
        <v>135</v>
      </c>
      <c r="P73" s="39" t="s">
        <v>136</v>
      </c>
      <c r="Q73" s="40">
        <v>94103.0</v>
      </c>
      <c r="R73" s="39" t="s">
        <v>137</v>
      </c>
      <c r="S73" s="39" t="s">
        <v>19</v>
      </c>
      <c r="T73" s="39" t="s">
        <v>138</v>
      </c>
      <c r="U73" s="39" t="s">
        <v>72</v>
      </c>
      <c r="V73" s="39" t="s">
        <v>139</v>
      </c>
      <c r="W73" s="41">
        <v>45772.0</v>
      </c>
      <c r="X73" s="40">
        <v>173.0</v>
      </c>
      <c r="Y73" s="39" t="s">
        <v>925</v>
      </c>
      <c r="Z73" s="41">
        <v>31594.0</v>
      </c>
      <c r="AA73" s="39" t="s">
        <v>163</v>
      </c>
      <c r="AB73" s="39" t="s">
        <v>142</v>
      </c>
      <c r="AC73" s="39" t="s">
        <v>292</v>
      </c>
      <c r="AD73" s="40">
        <v>127000.0</v>
      </c>
      <c r="AE73" s="40">
        <v>127000.0</v>
      </c>
      <c r="AF73" s="39" t="s">
        <v>144</v>
      </c>
      <c r="AG73" s="39" t="s">
        <v>145</v>
      </c>
      <c r="AH73" s="39" t="s">
        <v>293</v>
      </c>
      <c r="AI73" s="42" t="s">
        <v>926</v>
      </c>
      <c r="AJ73" s="42" t="s">
        <v>927</v>
      </c>
    </row>
    <row r="74" ht="15.75" customHeight="1">
      <c r="A74" s="40">
        <v>73.0</v>
      </c>
      <c r="B74" s="39" t="s">
        <v>928</v>
      </c>
      <c r="C74" s="39" t="s">
        <v>929</v>
      </c>
      <c r="D74" s="39" t="s">
        <v>930</v>
      </c>
      <c r="E74" s="39" t="s">
        <v>929</v>
      </c>
      <c r="F74" s="39" t="s">
        <v>270</v>
      </c>
      <c r="G74" s="39" t="s">
        <v>931</v>
      </c>
      <c r="H74" s="39" t="s">
        <v>932</v>
      </c>
      <c r="I74" s="39"/>
      <c r="J74" s="39" t="s">
        <v>933</v>
      </c>
      <c r="K74" s="40">
        <v>8101.0</v>
      </c>
      <c r="L74" s="39" t="s">
        <v>934</v>
      </c>
      <c r="M74" s="39" t="s">
        <v>260</v>
      </c>
      <c r="N74" s="39" t="s">
        <v>261</v>
      </c>
      <c r="O74" s="39" t="s">
        <v>193</v>
      </c>
      <c r="P74" s="39" t="s">
        <v>194</v>
      </c>
      <c r="Q74" s="40">
        <v>10011.0</v>
      </c>
      <c r="R74" s="39" t="s">
        <v>137</v>
      </c>
      <c r="S74" s="39" t="s">
        <v>19</v>
      </c>
      <c r="T74" s="39" t="s">
        <v>138</v>
      </c>
      <c r="U74" s="39" t="s">
        <v>68</v>
      </c>
      <c r="V74" s="39" t="s">
        <v>195</v>
      </c>
      <c r="W74" s="41">
        <v>44927.0</v>
      </c>
      <c r="X74" s="40">
        <v>205.0</v>
      </c>
      <c r="Y74" s="39" t="s">
        <v>935</v>
      </c>
      <c r="Z74" s="41">
        <v>32430.0</v>
      </c>
      <c r="AA74" s="39" t="s">
        <v>163</v>
      </c>
      <c r="AB74" s="39" t="s">
        <v>180</v>
      </c>
      <c r="AC74" s="39" t="s">
        <v>197</v>
      </c>
      <c r="AD74" s="40">
        <v>101000.0</v>
      </c>
      <c r="AE74" s="40">
        <v>101000.0</v>
      </c>
      <c r="AF74" s="39" t="s">
        <v>144</v>
      </c>
      <c r="AG74" s="39" t="s">
        <v>145</v>
      </c>
      <c r="AH74" s="39" t="s">
        <v>293</v>
      </c>
      <c r="AI74" s="42" t="s">
        <v>936</v>
      </c>
      <c r="AJ74" s="42" t="s">
        <v>937</v>
      </c>
    </row>
    <row r="75" ht="15.75" customHeight="1">
      <c r="A75" s="40">
        <v>74.0</v>
      </c>
      <c r="B75" s="39" t="s">
        <v>938</v>
      </c>
      <c r="C75" s="39" t="s">
        <v>939</v>
      </c>
      <c r="D75" s="39" t="s">
        <v>940</v>
      </c>
      <c r="E75" s="39" t="s">
        <v>939</v>
      </c>
      <c r="F75" s="39" t="s">
        <v>203</v>
      </c>
      <c r="G75" s="39" t="s">
        <v>941</v>
      </c>
      <c r="H75" s="39" t="s">
        <v>942</v>
      </c>
      <c r="I75" s="39"/>
      <c r="J75" s="39" t="s">
        <v>943</v>
      </c>
      <c r="K75" s="40">
        <v>4221.0</v>
      </c>
      <c r="L75" s="39" t="s">
        <v>944</v>
      </c>
      <c r="M75" s="39" t="s">
        <v>260</v>
      </c>
      <c r="N75" s="39" t="s">
        <v>261</v>
      </c>
      <c r="O75" s="39" t="s">
        <v>193</v>
      </c>
      <c r="P75" s="39" t="s">
        <v>194</v>
      </c>
      <c r="Q75" s="40">
        <v>10011.0</v>
      </c>
      <c r="R75" s="39" t="s">
        <v>137</v>
      </c>
      <c r="S75" s="39" t="s">
        <v>19</v>
      </c>
      <c r="T75" s="39" t="s">
        <v>138</v>
      </c>
      <c r="U75" s="39" t="s">
        <v>71</v>
      </c>
      <c r="V75" s="39" t="s">
        <v>195</v>
      </c>
      <c r="W75" s="41">
        <v>45190.0</v>
      </c>
      <c r="X75" s="40">
        <v>206.0</v>
      </c>
      <c r="Y75" s="39" t="s">
        <v>945</v>
      </c>
      <c r="Z75" s="41">
        <v>34625.0</v>
      </c>
      <c r="AA75" s="39" t="s">
        <v>141</v>
      </c>
      <c r="AB75" s="39" t="s">
        <v>180</v>
      </c>
      <c r="AC75" s="39" t="s">
        <v>211</v>
      </c>
      <c r="AD75" s="40">
        <v>133000.0</v>
      </c>
      <c r="AE75" s="40">
        <v>133000.0</v>
      </c>
      <c r="AF75" s="39" t="s">
        <v>144</v>
      </c>
      <c r="AG75" s="39" t="s">
        <v>145</v>
      </c>
      <c r="AH75" s="39" t="s">
        <v>146</v>
      </c>
      <c r="AI75" s="42" t="s">
        <v>946</v>
      </c>
      <c r="AJ75" s="42" t="s">
        <v>947</v>
      </c>
    </row>
    <row r="76" ht="15.75" customHeight="1">
      <c r="A76" s="40">
        <v>75.0</v>
      </c>
      <c r="B76" s="39" t="s">
        <v>948</v>
      </c>
      <c r="C76" s="39" t="s">
        <v>949</v>
      </c>
      <c r="D76" s="39" t="s">
        <v>950</v>
      </c>
      <c r="E76" s="39" t="s">
        <v>949</v>
      </c>
      <c r="F76" s="39" t="s">
        <v>270</v>
      </c>
      <c r="G76" s="39" t="s">
        <v>951</v>
      </c>
      <c r="H76" s="39" t="s">
        <v>952</v>
      </c>
      <c r="I76" s="39"/>
      <c r="J76" s="39" t="s">
        <v>953</v>
      </c>
      <c r="K76" s="40">
        <v>7818.0</v>
      </c>
      <c r="L76" s="39" t="s">
        <v>954</v>
      </c>
      <c r="M76" s="39" t="s">
        <v>208</v>
      </c>
      <c r="N76" s="39" t="s">
        <v>209</v>
      </c>
      <c r="O76" s="39" t="s">
        <v>135</v>
      </c>
      <c r="P76" s="39" t="s">
        <v>136</v>
      </c>
      <c r="Q76" s="40">
        <v>94105.0</v>
      </c>
      <c r="R76" s="39" t="s">
        <v>137</v>
      </c>
      <c r="S76" s="39" t="s">
        <v>19</v>
      </c>
      <c r="T76" s="39" t="s">
        <v>138</v>
      </c>
      <c r="U76" s="39" t="s">
        <v>74</v>
      </c>
      <c r="V76" s="39" t="s">
        <v>139</v>
      </c>
      <c r="W76" s="41">
        <v>45748.0</v>
      </c>
      <c r="X76" s="40">
        <v>237.0</v>
      </c>
      <c r="Y76" s="39" t="s">
        <v>955</v>
      </c>
      <c r="Z76" s="41">
        <v>27622.0</v>
      </c>
      <c r="AA76" s="39" t="s">
        <v>141</v>
      </c>
      <c r="AB76" s="39" t="s">
        <v>180</v>
      </c>
      <c r="AC76" s="39" t="s">
        <v>292</v>
      </c>
      <c r="AD76" s="40">
        <v>174000.0</v>
      </c>
      <c r="AE76" s="40">
        <v>174000.0</v>
      </c>
      <c r="AF76" s="39" t="s">
        <v>144</v>
      </c>
      <c r="AG76" s="39" t="s">
        <v>145</v>
      </c>
      <c r="AH76" s="39" t="s">
        <v>293</v>
      </c>
      <c r="AI76" s="42" t="s">
        <v>956</v>
      </c>
      <c r="AJ76" s="42" t="s">
        <v>957</v>
      </c>
    </row>
    <row r="77" ht="15.75" customHeight="1">
      <c r="A77" s="40">
        <v>76.0</v>
      </c>
      <c r="B77" s="39" t="s">
        <v>958</v>
      </c>
      <c r="C77" s="39" t="s">
        <v>959</v>
      </c>
      <c r="D77" s="39" t="s">
        <v>960</v>
      </c>
      <c r="E77" s="39" t="s">
        <v>959</v>
      </c>
      <c r="F77" s="39" t="s">
        <v>255</v>
      </c>
      <c r="G77" s="39" t="s">
        <v>961</v>
      </c>
      <c r="H77" s="39" t="s">
        <v>962</v>
      </c>
      <c r="I77" s="39"/>
      <c r="J77" s="39" t="s">
        <v>963</v>
      </c>
      <c r="K77" s="40">
        <v>1993.0</v>
      </c>
      <c r="L77" s="39" t="s">
        <v>964</v>
      </c>
      <c r="M77" s="39" t="s">
        <v>247</v>
      </c>
      <c r="N77" s="39" t="s">
        <v>248</v>
      </c>
      <c r="O77" s="39" t="s">
        <v>135</v>
      </c>
      <c r="P77" s="39" t="s">
        <v>136</v>
      </c>
      <c r="Q77" s="40">
        <v>94103.0</v>
      </c>
      <c r="R77" s="39" t="s">
        <v>137</v>
      </c>
      <c r="S77" s="39" t="s">
        <v>19</v>
      </c>
      <c r="T77" s="39" t="s">
        <v>160</v>
      </c>
      <c r="U77" s="39" t="s">
        <v>74</v>
      </c>
      <c r="V77" s="39" t="s">
        <v>139</v>
      </c>
      <c r="W77" s="41">
        <v>45515.0</v>
      </c>
      <c r="X77" s="40">
        <v>238.0</v>
      </c>
      <c r="Y77" s="39" t="s">
        <v>965</v>
      </c>
      <c r="Z77" s="41">
        <v>34610.0</v>
      </c>
      <c r="AA77" s="39" t="s">
        <v>163</v>
      </c>
      <c r="AB77" s="39" t="s">
        <v>142</v>
      </c>
      <c r="AC77" s="39" t="s">
        <v>181</v>
      </c>
      <c r="AD77" s="40">
        <v>154000.0</v>
      </c>
      <c r="AE77" s="40">
        <v>154000.0</v>
      </c>
      <c r="AF77" s="39" t="s">
        <v>144</v>
      </c>
      <c r="AG77" s="39" t="s">
        <v>145</v>
      </c>
      <c r="AH77" s="39" t="s">
        <v>264</v>
      </c>
      <c r="AI77" s="42" t="s">
        <v>966</v>
      </c>
      <c r="AJ77" s="42" t="s">
        <v>967</v>
      </c>
    </row>
    <row r="78" ht="15.75" customHeight="1">
      <c r="A78" s="40">
        <v>77.0</v>
      </c>
      <c r="B78" s="39" t="s">
        <v>968</v>
      </c>
      <c r="C78" s="39" t="s">
        <v>969</v>
      </c>
      <c r="D78" s="39" t="s">
        <v>970</v>
      </c>
      <c r="E78" s="39" t="s">
        <v>969</v>
      </c>
      <c r="F78" s="39" t="s">
        <v>203</v>
      </c>
      <c r="G78" s="39" t="s">
        <v>971</v>
      </c>
      <c r="H78" s="39" t="s">
        <v>972</v>
      </c>
      <c r="I78" s="39"/>
      <c r="J78" s="39" t="s">
        <v>973</v>
      </c>
      <c r="K78" s="40">
        <v>8016.0</v>
      </c>
      <c r="L78" s="39" t="s">
        <v>974</v>
      </c>
      <c r="M78" s="39" t="s">
        <v>260</v>
      </c>
      <c r="N78" s="39" t="s">
        <v>261</v>
      </c>
      <c r="O78" s="39" t="s">
        <v>193</v>
      </c>
      <c r="P78" s="39" t="s">
        <v>194</v>
      </c>
      <c r="Q78" s="40">
        <v>10011.0</v>
      </c>
      <c r="R78" s="39" t="s">
        <v>137</v>
      </c>
      <c r="S78" s="39" t="s">
        <v>19</v>
      </c>
      <c r="T78" s="39" t="s">
        <v>236</v>
      </c>
      <c r="U78" s="39" t="s">
        <v>69</v>
      </c>
      <c r="V78" s="39" t="s">
        <v>195</v>
      </c>
      <c r="W78" s="41">
        <v>45244.0</v>
      </c>
      <c r="X78" s="40">
        <v>237.0</v>
      </c>
      <c r="Y78" s="39" t="s">
        <v>975</v>
      </c>
      <c r="Z78" s="41">
        <v>28449.0</v>
      </c>
      <c r="AA78" s="39" t="s">
        <v>141</v>
      </c>
      <c r="AB78" s="39" t="s">
        <v>180</v>
      </c>
      <c r="AC78" s="39" t="s">
        <v>197</v>
      </c>
      <c r="AD78" s="40">
        <v>203000.0</v>
      </c>
      <c r="AE78" s="40">
        <v>203000.0</v>
      </c>
      <c r="AF78" s="39" t="s">
        <v>144</v>
      </c>
      <c r="AG78" s="39" t="s">
        <v>145</v>
      </c>
      <c r="AH78" s="39" t="s">
        <v>146</v>
      </c>
      <c r="AI78" s="42" t="s">
        <v>976</v>
      </c>
      <c r="AJ78" s="42" t="s">
        <v>977</v>
      </c>
    </row>
    <row r="79" ht="15.75" customHeight="1">
      <c r="A79" s="40">
        <v>78.0</v>
      </c>
      <c r="B79" s="39" t="s">
        <v>978</v>
      </c>
      <c r="C79" s="39" t="s">
        <v>979</v>
      </c>
      <c r="D79" s="39" t="s">
        <v>980</v>
      </c>
      <c r="E79" s="39" t="s">
        <v>979</v>
      </c>
      <c r="F79" s="39" t="s">
        <v>186</v>
      </c>
      <c r="G79" s="39" t="s">
        <v>981</v>
      </c>
      <c r="H79" s="39" t="s">
        <v>982</v>
      </c>
      <c r="I79" s="39"/>
      <c r="J79" s="39" t="s">
        <v>983</v>
      </c>
      <c r="K79" s="40">
        <v>3968.0</v>
      </c>
      <c r="L79" s="39" t="s">
        <v>984</v>
      </c>
      <c r="M79" s="39" t="s">
        <v>314</v>
      </c>
      <c r="N79" s="39" t="s">
        <v>315</v>
      </c>
      <c r="O79" s="39" t="s">
        <v>193</v>
      </c>
      <c r="P79" s="39" t="s">
        <v>194</v>
      </c>
      <c r="Q79" s="40">
        <v>10007.0</v>
      </c>
      <c r="R79" s="39" t="s">
        <v>137</v>
      </c>
      <c r="S79" s="39" t="s">
        <v>19</v>
      </c>
      <c r="T79" s="39" t="s">
        <v>160</v>
      </c>
      <c r="U79" s="39" t="s">
        <v>77</v>
      </c>
      <c r="V79" s="39" t="s">
        <v>195</v>
      </c>
      <c r="W79" s="41">
        <v>45448.0</v>
      </c>
      <c r="X79" s="40">
        <v>107.0</v>
      </c>
      <c r="Y79" s="39" t="s">
        <v>985</v>
      </c>
      <c r="Z79" s="41">
        <v>36162.0</v>
      </c>
      <c r="AA79" s="39" t="s">
        <v>163</v>
      </c>
      <c r="AB79" s="39" t="s">
        <v>180</v>
      </c>
      <c r="AC79" s="39" t="s">
        <v>197</v>
      </c>
      <c r="AD79" s="40">
        <v>155000.0</v>
      </c>
      <c r="AE79" s="40">
        <v>155000.0</v>
      </c>
      <c r="AF79" s="39" t="s">
        <v>144</v>
      </c>
      <c r="AG79" s="39" t="s">
        <v>145</v>
      </c>
      <c r="AH79" s="39" t="s">
        <v>264</v>
      </c>
      <c r="AI79" s="42" t="s">
        <v>986</v>
      </c>
      <c r="AJ79" s="42" t="s">
        <v>987</v>
      </c>
    </row>
    <row r="80" ht="15.75" customHeight="1">
      <c r="A80" s="40">
        <v>79.0</v>
      </c>
      <c r="B80" s="39" t="s">
        <v>988</v>
      </c>
      <c r="C80" s="39" t="s">
        <v>989</v>
      </c>
      <c r="D80" s="39" t="s">
        <v>990</v>
      </c>
      <c r="E80" s="39" t="s">
        <v>989</v>
      </c>
      <c r="F80" s="39" t="s">
        <v>217</v>
      </c>
      <c r="G80" s="39" t="s">
        <v>991</v>
      </c>
      <c r="H80" s="39" t="s">
        <v>992</v>
      </c>
      <c r="I80" s="39"/>
      <c r="J80" s="39" t="s">
        <v>993</v>
      </c>
      <c r="K80" s="40">
        <v>5705.0</v>
      </c>
      <c r="L80" s="39" t="s">
        <v>994</v>
      </c>
      <c r="M80" s="39" t="s">
        <v>173</v>
      </c>
      <c r="N80" s="39"/>
      <c r="O80" s="39" t="s">
        <v>174</v>
      </c>
      <c r="P80" s="39" t="s">
        <v>175</v>
      </c>
      <c r="Q80" s="39" t="s">
        <v>176</v>
      </c>
      <c r="R80" s="39" t="s">
        <v>177</v>
      </c>
      <c r="S80" s="39" t="s">
        <v>19</v>
      </c>
      <c r="T80" s="39" t="s">
        <v>138</v>
      </c>
      <c r="U80" s="39" t="s">
        <v>77</v>
      </c>
      <c r="V80" s="39" t="s">
        <v>178</v>
      </c>
      <c r="W80" s="41">
        <v>45729.0</v>
      </c>
      <c r="X80" s="40">
        <v>75.0</v>
      </c>
      <c r="Y80" s="39" t="s">
        <v>995</v>
      </c>
      <c r="Z80" s="41">
        <v>32424.0</v>
      </c>
      <c r="AA80" s="39" t="s">
        <v>279</v>
      </c>
      <c r="AB80" s="39" t="s">
        <v>142</v>
      </c>
      <c r="AC80" s="39" t="s">
        <v>197</v>
      </c>
      <c r="AD80" s="40">
        <v>104000.0</v>
      </c>
      <c r="AE80" s="40">
        <v>104000.0</v>
      </c>
      <c r="AF80" s="39" t="s">
        <v>144</v>
      </c>
      <c r="AG80" s="39" t="s">
        <v>145</v>
      </c>
      <c r="AH80" s="39" t="s">
        <v>146</v>
      </c>
      <c r="AI80" s="42" t="s">
        <v>996</v>
      </c>
      <c r="AJ80" s="42" t="s">
        <v>997</v>
      </c>
    </row>
    <row r="81" ht="15.75" customHeight="1">
      <c r="A81" s="40">
        <v>80.0</v>
      </c>
      <c r="B81" s="39" t="s">
        <v>998</v>
      </c>
      <c r="C81" s="39" t="s">
        <v>999</v>
      </c>
      <c r="D81" s="39" t="s">
        <v>1000</v>
      </c>
      <c r="E81" s="39" t="s">
        <v>999</v>
      </c>
      <c r="F81" s="39" t="s">
        <v>427</v>
      </c>
      <c r="G81" s="39" t="s">
        <v>1001</v>
      </c>
      <c r="H81" s="39" t="s">
        <v>1002</v>
      </c>
      <c r="I81" s="39"/>
      <c r="J81" s="39" t="s">
        <v>1003</v>
      </c>
      <c r="K81" s="40">
        <v>3719.0</v>
      </c>
      <c r="L81" s="39" t="s">
        <v>1004</v>
      </c>
      <c r="M81" s="39" t="s">
        <v>247</v>
      </c>
      <c r="N81" s="39" t="s">
        <v>248</v>
      </c>
      <c r="O81" s="39" t="s">
        <v>135</v>
      </c>
      <c r="P81" s="39" t="s">
        <v>136</v>
      </c>
      <c r="Q81" s="40">
        <v>94103.0</v>
      </c>
      <c r="R81" s="39" t="s">
        <v>137</v>
      </c>
      <c r="S81" s="39" t="s">
        <v>19</v>
      </c>
      <c r="T81" s="39" t="s">
        <v>236</v>
      </c>
      <c r="U81" s="39" t="s">
        <v>73</v>
      </c>
      <c r="V81" s="39" t="s">
        <v>139</v>
      </c>
      <c r="W81" s="41">
        <v>45962.0</v>
      </c>
      <c r="X81" s="40">
        <v>97.0</v>
      </c>
      <c r="Y81" s="39" t="s">
        <v>1005</v>
      </c>
      <c r="Z81" s="41">
        <v>35462.0</v>
      </c>
      <c r="AA81" s="39" t="s">
        <v>163</v>
      </c>
      <c r="AB81" s="39" t="s">
        <v>142</v>
      </c>
      <c r="AC81" s="39" t="s">
        <v>197</v>
      </c>
      <c r="AD81" s="40">
        <v>115000.0</v>
      </c>
      <c r="AE81" s="40">
        <v>115000.0</v>
      </c>
      <c r="AF81" s="39" t="s">
        <v>144</v>
      </c>
      <c r="AG81" s="39" t="s">
        <v>145</v>
      </c>
      <c r="AH81" s="39" t="s">
        <v>146</v>
      </c>
      <c r="AI81" s="42" t="s">
        <v>1006</v>
      </c>
      <c r="AJ81" s="42" t="s">
        <v>1007</v>
      </c>
    </row>
    <row r="82" ht="15.75" customHeight="1">
      <c r="A82" s="40">
        <v>81.0</v>
      </c>
      <c r="B82" s="39" t="s">
        <v>1008</v>
      </c>
      <c r="C82" s="39" t="s">
        <v>1009</v>
      </c>
      <c r="D82" s="39" t="s">
        <v>1010</v>
      </c>
      <c r="E82" s="39" t="s">
        <v>1009</v>
      </c>
      <c r="F82" s="39" t="s">
        <v>203</v>
      </c>
      <c r="G82" s="39" t="s">
        <v>1011</v>
      </c>
      <c r="H82" s="39" t="s">
        <v>1012</v>
      </c>
      <c r="I82" s="39"/>
      <c r="J82" s="39" t="s">
        <v>1013</v>
      </c>
      <c r="K82" s="40">
        <v>8422.0</v>
      </c>
      <c r="L82" s="39" t="s">
        <v>1014</v>
      </c>
      <c r="M82" s="39" t="s">
        <v>191</v>
      </c>
      <c r="N82" s="39" t="s">
        <v>192</v>
      </c>
      <c r="O82" s="39" t="s">
        <v>193</v>
      </c>
      <c r="P82" s="39" t="s">
        <v>194</v>
      </c>
      <c r="Q82" s="40">
        <v>10011.0</v>
      </c>
      <c r="R82" s="39" t="s">
        <v>137</v>
      </c>
      <c r="S82" s="39" t="s">
        <v>19</v>
      </c>
      <c r="T82" s="39" t="s">
        <v>236</v>
      </c>
      <c r="U82" s="39" t="s">
        <v>72</v>
      </c>
      <c r="V82" s="39" t="s">
        <v>195</v>
      </c>
      <c r="W82" s="41">
        <v>44997.0</v>
      </c>
      <c r="X82" s="40">
        <v>111.0</v>
      </c>
      <c r="Y82" s="39" t="s">
        <v>1015</v>
      </c>
      <c r="Z82" s="41">
        <v>37490.0</v>
      </c>
      <c r="AA82" s="39" t="s">
        <v>263</v>
      </c>
      <c r="AB82" s="39" t="s">
        <v>180</v>
      </c>
      <c r="AC82" s="39" t="s">
        <v>197</v>
      </c>
      <c r="AD82" s="40">
        <v>145000.0</v>
      </c>
      <c r="AE82" s="40">
        <v>145000.0</v>
      </c>
      <c r="AF82" s="39" t="s">
        <v>144</v>
      </c>
      <c r="AG82" s="39" t="s">
        <v>145</v>
      </c>
      <c r="AH82" s="39" t="s">
        <v>146</v>
      </c>
      <c r="AI82" s="42" t="s">
        <v>1016</v>
      </c>
      <c r="AJ82" s="42" t="s">
        <v>1017</v>
      </c>
    </row>
    <row r="83" ht="15.75" customHeight="1">
      <c r="A83" s="40">
        <v>82.0</v>
      </c>
      <c r="B83" s="39" t="s">
        <v>1018</v>
      </c>
      <c r="C83" s="39" t="s">
        <v>1019</v>
      </c>
      <c r="D83" s="39" t="s">
        <v>1020</v>
      </c>
      <c r="E83" s="39" t="s">
        <v>1019</v>
      </c>
      <c r="F83" s="39" t="s">
        <v>270</v>
      </c>
      <c r="G83" s="39" t="s">
        <v>1021</v>
      </c>
      <c r="H83" s="39" t="s">
        <v>1022</v>
      </c>
      <c r="I83" s="39"/>
      <c r="J83" s="39" t="s">
        <v>1023</v>
      </c>
      <c r="K83" s="40">
        <v>9003.0</v>
      </c>
      <c r="L83" s="39" t="s">
        <v>1024</v>
      </c>
      <c r="M83" s="39" t="s">
        <v>346</v>
      </c>
      <c r="N83" s="39"/>
      <c r="O83" s="39" t="s">
        <v>174</v>
      </c>
      <c r="P83" s="39" t="s">
        <v>175</v>
      </c>
      <c r="Q83" s="39" t="s">
        <v>347</v>
      </c>
      <c r="R83" s="39" t="s">
        <v>177</v>
      </c>
      <c r="S83" s="39" t="s">
        <v>19</v>
      </c>
      <c r="T83" s="39" t="s">
        <v>236</v>
      </c>
      <c r="U83" s="39" t="s">
        <v>74</v>
      </c>
      <c r="V83" s="39" t="s">
        <v>178</v>
      </c>
      <c r="W83" s="41">
        <v>45578.0</v>
      </c>
      <c r="X83" s="40">
        <v>237.0</v>
      </c>
      <c r="Y83" s="39" t="s">
        <v>1025</v>
      </c>
      <c r="Z83" s="41">
        <v>31963.0</v>
      </c>
      <c r="AA83" s="39" t="s">
        <v>163</v>
      </c>
      <c r="AB83" s="39" t="s">
        <v>180</v>
      </c>
      <c r="AC83" s="39" t="s">
        <v>197</v>
      </c>
      <c r="AD83" s="40">
        <v>141000.0</v>
      </c>
      <c r="AE83" s="40">
        <v>141000.0</v>
      </c>
      <c r="AF83" s="39" t="s">
        <v>144</v>
      </c>
      <c r="AG83" s="39" t="s">
        <v>145</v>
      </c>
      <c r="AH83" s="39" t="s">
        <v>146</v>
      </c>
      <c r="AI83" s="42" t="s">
        <v>1026</v>
      </c>
      <c r="AJ83" s="42" t="s">
        <v>1027</v>
      </c>
    </row>
    <row r="84" ht="15.75" customHeight="1">
      <c r="A84" s="40">
        <v>83.0</v>
      </c>
      <c r="B84" s="39" t="s">
        <v>1028</v>
      </c>
      <c r="C84" s="39" t="s">
        <v>352</v>
      </c>
      <c r="D84" s="39" t="s">
        <v>1029</v>
      </c>
      <c r="E84" s="39" t="s">
        <v>352</v>
      </c>
      <c r="F84" s="39" t="s">
        <v>255</v>
      </c>
      <c r="G84" s="39" t="s">
        <v>1030</v>
      </c>
      <c r="H84" s="39" t="s">
        <v>1031</v>
      </c>
      <c r="I84" s="39"/>
      <c r="J84" s="39" t="s">
        <v>1032</v>
      </c>
      <c r="K84" s="40">
        <v>8993.0</v>
      </c>
      <c r="L84" s="39" t="s">
        <v>1033</v>
      </c>
      <c r="M84" s="39" t="s">
        <v>133</v>
      </c>
      <c r="N84" s="39" t="s">
        <v>134</v>
      </c>
      <c r="O84" s="39" t="s">
        <v>135</v>
      </c>
      <c r="P84" s="39" t="s">
        <v>136</v>
      </c>
      <c r="Q84" s="40">
        <v>94108.0</v>
      </c>
      <c r="R84" s="39" t="s">
        <v>137</v>
      </c>
      <c r="S84" s="39" t="s">
        <v>19</v>
      </c>
      <c r="T84" s="39" t="s">
        <v>138</v>
      </c>
      <c r="U84" s="39" t="s">
        <v>69</v>
      </c>
      <c r="V84" s="39" t="s">
        <v>139</v>
      </c>
      <c r="W84" s="41">
        <v>44640.0</v>
      </c>
      <c r="X84" s="40">
        <v>237.0</v>
      </c>
      <c r="Y84" s="39" t="s">
        <v>1034</v>
      </c>
      <c r="Z84" s="41">
        <v>30316.0</v>
      </c>
      <c r="AA84" s="39" t="s">
        <v>141</v>
      </c>
      <c r="AB84" s="39" t="s">
        <v>142</v>
      </c>
      <c r="AC84" s="39" t="s">
        <v>279</v>
      </c>
      <c r="AD84" s="40">
        <v>203000.0</v>
      </c>
      <c r="AE84" s="40">
        <v>203000.0</v>
      </c>
      <c r="AF84" s="39" t="s">
        <v>144</v>
      </c>
      <c r="AG84" s="39" t="s">
        <v>145</v>
      </c>
      <c r="AH84" s="39" t="s">
        <v>293</v>
      </c>
      <c r="AI84" s="42" t="s">
        <v>1035</v>
      </c>
      <c r="AJ84" s="42" t="s">
        <v>1036</v>
      </c>
    </row>
    <row r="85" ht="15.75" customHeight="1">
      <c r="A85" s="40">
        <v>84.0</v>
      </c>
      <c r="B85" s="39" t="s">
        <v>1037</v>
      </c>
      <c r="C85" s="39" t="s">
        <v>1038</v>
      </c>
      <c r="D85" s="39" t="s">
        <v>1039</v>
      </c>
      <c r="E85" s="39" t="s">
        <v>1038</v>
      </c>
      <c r="F85" s="39" t="s">
        <v>427</v>
      </c>
      <c r="G85" s="39" t="s">
        <v>1040</v>
      </c>
      <c r="H85" s="39" t="s">
        <v>1041</v>
      </c>
      <c r="I85" s="39"/>
      <c r="J85" s="39" t="s">
        <v>1042</v>
      </c>
      <c r="K85" s="40">
        <v>7491.0</v>
      </c>
      <c r="L85" s="39" t="s">
        <v>1043</v>
      </c>
      <c r="M85" s="39" t="s">
        <v>133</v>
      </c>
      <c r="N85" s="39" t="s">
        <v>134</v>
      </c>
      <c r="O85" s="39" t="s">
        <v>135</v>
      </c>
      <c r="P85" s="39" t="s">
        <v>136</v>
      </c>
      <c r="Q85" s="40">
        <v>94108.0</v>
      </c>
      <c r="R85" s="39" t="s">
        <v>137</v>
      </c>
      <c r="S85" s="39" t="s">
        <v>19</v>
      </c>
      <c r="T85" s="39" t="s">
        <v>160</v>
      </c>
      <c r="U85" s="39" t="s">
        <v>69</v>
      </c>
      <c r="V85" s="39" t="s">
        <v>139</v>
      </c>
      <c r="W85" s="41">
        <v>44863.0</v>
      </c>
      <c r="X85" s="40">
        <v>238.0</v>
      </c>
      <c r="Y85" s="39" t="s">
        <v>1044</v>
      </c>
      <c r="Z85" s="41">
        <v>30431.0</v>
      </c>
      <c r="AA85" s="39" t="s">
        <v>163</v>
      </c>
      <c r="AB85" s="39" t="s">
        <v>142</v>
      </c>
      <c r="AC85" s="39" t="s">
        <v>143</v>
      </c>
      <c r="AD85" s="40">
        <v>193000.0</v>
      </c>
      <c r="AE85" s="40">
        <v>193000.0</v>
      </c>
      <c r="AF85" s="39" t="s">
        <v>144</v>
      </c>
      <c r="AG85" s="39" t="s">
        <v>145</v>
      </c>
      <c r="AH85" s="39" t="s">
        <v>146</v>
      </c>
      <c r="AI85" s="42" t="s">
        <v>1045</v>
      </c>
      <c r="AJ85" s="42" t="s">
        <v>1046</v>
      </c>
    </row>
    <row r="86" ht="15.75" customHeight="1">
      <c r="A86" s="40">
        <v>85.0</v>
      </c>
      <c r="B86" s="39" t="s">
        <v>1047</v>
      </c>
      <c r="C86" s="39" t="s">
        <v>1048</v>
      </c>
      <c r="D86" s="39" t="s">
        <v>1049</v>
      </c>
      <c r="E86" s="39" t="s">
        <v>1048</v>
      </c>
      <c r="F86" s="39" t="s">
        <v>374</v>
      </c>
      <c r="G86" s="39" t="s">
        <v>1050</v>
      </c>
      <c r="H86" s="39" t="s">
        <v>1051</v>
      </c>
      <c r="I86" s="39"/>
      <c r="J86" s="39" t="s">
        <v>1052</v>
      </c>
      <c r="K86" s="40">
        <v>6737.0</v>
      </c>
      <c r="L86" s="39" t="s">
        <v>1053</v>
      </c>
      <c r="M86" s="39" t="s">
        <v>222</v>
      </c>
      <c r="N86" s="39" t="s">
        <v>223</v>
      </c>
      <c r="O86" s="39" t="s">
        <v>135</v>
      </c>
      <c r="P86" s="39" t="s">
        <v>136</v>
      </c>
      <c r="Q86" s="40">
        <v>94104.0</v>
      </c>
      <c r="R86" s="39" t="s">
        <v>137</v>
      </c>
      <c r="S86" s="39" t="s">
        <v>19</v>
      </c>
      <c r="T86" s="39" t="s">
        <v>160</v>
      </c>
      <c r="U86" s="39" t="s">
        <v>68</v>
      </c>
      <c r="V86" s="39" t="s">
        <v>139</v>
      </c>
      <c r="W86" s="41">
        <v>45101.0</v>
      </c>
      <c r="X86" s="40">
        <v>140.0</v>
      </c>
      <c r="Y86" s="39" t="s">
        <v>1054</v>
      </c>
      <c r="Z86" s="41">
        <v>37618.0</v>
      </c>
      <c r="AA86" s="39" t="s">
        <v>141</v>
      </c>
      <c r="AB86" s="39" t="s">
        <v>142</v>
      </c>
      <c r="AC86" s="39" t="s">
        <v>143</v>
      </c>
      <c r="AD86" s="40">
        <v>102000.0</v>
      </c>
      <c r="AE86" s="40">
        <v>102000.0</v>
      </c>
      <c r="AF86" s="39" t="s">
        <v>144</v>
      </c>
      <c r="AG86" s="39" t="s">
        <v>145</v>
      </c>
      <c r="AH86" s="39" t="s">
        <v>293</v>
      </c>
      <c r="AI86" s="42" t="s">
        <v>1055</v>
      </c>
      <c r="AJ86" s="42" t="s">
        <v>1056</v>
      </c>
    </row>
    <row r="87" ht="15.75" customHeight="1">
      <c r="A87" s="40">
        <v>86.0</v>
      </c>
      <c r="B87" s="39" t="s">
        <v>1057</v>
      </c>
      <c r="C87" s="39" t="s">
        <v>1058</v>
      </c>
      <c r="D87" s="39" t="s">
        <v>1059</v>
      </c>
      <c r="E87" s="39" t="s">
        <v>1058</v>
      </c>
      <c r="F87" s="39" t="s">
        <v>128</v>
      </c>
      <c r="G87" s="39" t="s">
        <v>1060</v>
      </c>
      <c r="H87" s="39" t="s">
        <v>1061</v>
      </c>
      <c r="I87" s="39"/>
      <c r="J87" s="39" t="s">
        <v>1062</v>
      </c>
      <c r="K87" s="40">
        <v>852.0</v>
      </c>
      <c r="L87" s="39" t="s">
        <v>1063</v>
      </c>
      <c r="M87" s="39" t="s">
        <v>222</v>
      </c>
      <c r="N87" s="39" t="s">
        <v>223</v>
      </c>
      <c r="O87" s="39" t="s">
        <v>135</v>
      </c>
      <c r="P87" s="39" t="s">
        <v>136</v>
      </c>
      <c r="Q87" s="40">
        <v>94104.0</v>
      </c>
      <c r="R87" s="39" t="s">
        <v>137</v>
      </c>
      <c r="S87" s="39" t="s">
        <v>19</v>
      </c>
      <c r="T87" s="39" t="s">
        <v>138</v>
      </c>
      <c r="U87" s="39" t="s">
        <v>77</v>
      </c>
      <c r="V87" s="39" t="s">
        <v>139</v>
      </c>
      <c r="W87" s="41">
        <v>44780.0</v>
      </c>
      <c r="X87" s="40">
        <v>83.0</v>
      </c>
      <c r="Y87" s="39" t="s">
        <v>1064</v>
      </c>
      <c r="Z87" s="41">
        <v>33961.0</v>
      </c>
      <c r="AA87" s="39" t="s">
        <v>163</v>
      </c>
      <c r="AB87" s="39" t="s">
        <v>225</v>
      </c>
      <c r="AC87" s="39" t="s">
        <v>279</v>
      </c>
      <c r="AD87" s="40">
        <v>132000.0</v>
      </c>
      <c r="AE87" s="40">
        <v>132000.0</v>
      </c>
      <c r="AF87" s="39" t="s">
        <v>144</v>
      </c>
      <c r="AG87" s="39" t="s">
        <v>145</v>
      </c>
      <c r="AH87" s="39" t="s">
        <v>146</v>
      </c>
      <c r="AI87" s="42" t="s">
        <v>1065</v>
      </c>
      <c r="AJ87" s="42" t="s">
        <v>1066</v>
      </c>
    </row>
    <row r="88" ht="15.75" customHeight="1">
      <c r="A88" s="40">
        <v>87.0</v>
      </c>
      <c r="B88" s="39" t="s">
        <v>1067</v>
      </c>
      <c r="C88" s="39" t="s">
        <v>1068</v>
      </c>
      <c r="D88" s="39" t="s">
        <v>1069</v>
      </c>
      <c r="E88" s="39" t="s">
        <v>1068</v>
      </c>
      <c r="F88" s="39" t="s">
        <v>217</v>
      </c>
      <c r="G88" s="39" t="s">
        <v>1070</v>
      </c>
      <c r="H88" s="39" t="s">
        <v>1071</v>
      </c>
      <c r="I88" s="39"/>
      <c r="J88" s="39" t="s">
        <v>1072</v>
      </c>
      <c r="K88" s="40">
        <v>3765.0</v>
      </c>
      <c r="L88" s="39" t="s">
        <v>1073</v>
      </c>
      <c r="M88" s="39" t="s">
        <v>247</v>
      </c>
      <c r="N88" s="39" t="s">
        <v>248</v>
      </c>
      <c r="O88" s="39" t="s">
        <v>135</v>
      </c>
      <c r="P88" s="39" t="s">
        <v>136</v>
      </c>
      <c r="Q88" s="40">
        <v>94103.0</v>
      </c>
      <c r="R88" s="39" t="s">
        <v>137</v>
      </c>
      <c r="S88" s="39" t="s">
        <v>19</v>
      </c>
      <c r="T88" s="39" t="s">
        <v>160</v>
      </c>
      <c r="U88" s="39" t="s">
        <v>68</v>
      </c>
      <c r="V88" s="39" t="s">
        <v>139</v>
      </c>
      <c r="W88" s="41">
        <v>45037.0</v>
      </c>
      <c r="X88" s="40">
        <v>142.0</v>
      </c>
      <c r="Y88" s="39" t="s">
        <v>1074</v>
      </c>
      <c r="Z88" s="41">
        <v>37390.0</v>
      </c>
      <c r="AA88" s="39" t="s">
        <v>163</v>
      </c>
      <c r="AB88" s="39" t="s">
        <v>180</v>
      </c>
      <c r="AC88" s="39" t="s">
        <v>292</v>
      </c>
      <c r="AD88" s="40">
        <v>133000.0</v>
      </c>
      <c r="AE88" s="40">
        <v>133000.0</v>
      </c>
      <c r="AF88" s="39" t="s">
        <v>144</v>
      </c>
      <c r="AG88" s="39" t="s">
        <v>145</v>
      </c>
      <c r="AH88" s="39" t="s">
        <v>293</v>
      </c>
      <c r="AI88" s="42" t="s">
        <v>1075</v>
      </c>
      <c r="AJ88" s="42" t="s">
        <v>1076</v>
      </c>
    </row>
    <row r="89" ht="15.75" customHeight="1">
      <c r="A89" s="40">
        <v>88.0</v>
      </c>
      <c r="B89" s="39" t="s">
        <v>1077</v>
      </c>
      <c r="C89" s="39" t="s">
        <v>1078</v>
      </c>
      <c r="D89" s="39" t="s">
        <v>1079</v>
      </c>
      <c r="E89" s="39" t="s">
        <v>1078</v>
      </c>
      <c r="F89" s="39" t="s">
        <v>203</v>
      </c>
      <c r="G89" s="39" t="s">
        <v>1080</v>
      </c>
      <c r="H89" s="39" t="s">
        <v>1081</v>
      </c>
      <c r="I89" s="39"/>
      <c r="J89" s="39" t="s">
        <v>1082</v>
      </c>
      <c r="K89" s="40">
        <v>782.0</v>
      </c>
      <c r="L89" s="39" t="s">
        <v>1083</v>
      </c>
      <c r="M89" s="39" t="s">
        <v>222</v>
      </c>
      <c r="N89" s="39" t="s">
        <v>223</v>
      </c>
      <c r="O89" s="39" t="s">
        <v>135</v>
      </c>
      <c r="P89" s="39" t="s">
        <v>136</v>
      </c>
      <c r="Q89" s="40">
        <v>94104.0</v>
      </c>
      <c r="R89" s="39" t="s">
        <v>137</v>
      </c>
      <c r="S89" s="39" t="s">
        <v>18</v>
      </c>
      <c r="T89" s="39" t="s">
        <v>593</v>
      </c>
      <c r="U89" s="39" t="s">
        <v>59</v>
      </c>
      <c r="V89" s="39" t="s">
        <v>139</v>
      </c>
      <c r="W89" s="41">
        <v>45923.0</v>
      </c>
      <c r="X89" s="40">
        <v>68.0</v>
      </c>
      <c r="Y89" s="39" t="s">
        <v>1084</v>
      </c>
      <c r="Z89" s="41">
        <v>25755.0</v>
      </c>
      <c r="AA89" s="39" t="s">
        <v>163</v>
      </c>
      <c r="AB89" s="39" t="s">
        <v>180</v>
      </c>
      <c r="AC89" s="39" t="s">
        <v>279</v>
      </c>
      <c r="AD89" s="40">
        <v>246000.0</v>
      </c>
      <c r="AE89" s="40">
        <v>246000.0</v>
      </c>
      <c r="AF89" s="39" t="s">
        <v>144</v>
      </c>
      <c r="AG89" s="39" t="s">
        <v>145</v>
      </c>
      <c r="AH89" s="39" t="s">
        <v>293</v>
      </c>
      <c r="AI89" s="42" t="s">
        <v>1085</v>
      </c>
      <c r="AJ89" s="42" t="s">
        <v>1086</v>
      </c>
    </row>
    <row r="90" ht="15.75" customHeight="1">
      <c r="A90" s="40">
        <v>89.0</v>
      </c>
      <c r="B90" s="39" t="s">
        <v>1087</v>
      </c>
      <c r="C90" s="39" t="s">
        <v>1088</v>
      </c>
      <c r="D90" s="39" t="s">
        <v>1089</v>
      </c>
      <c r="E90" s="39" t="s">
        <v>1088</v>
      </c>
      <c r="F90" s="39" t="s">
        <v>270</v>
      </c>
      <c r="G90" s="39" t="s">
        <v>1090</v>
      </c>
      <c r="H90" s="39" t="s">
        <v>1091</v>
      </c>
      <c r="I90" s="39"/>
      <c r="J90" s="39" t="s">
        <v>1092</v>
      </c>
      <c r="K90" s="40">
        <v>4298.0</v>
      </c>
      <c r="L90" s="39" t="s">
        <v>1093</v>
      </c>
      <c r="M90" s="39" t="s">
        <v>222</v>
      </c>
      <c r="N90" s="39" t="s">
        <v>223</v>
      </c>
      <c r="O90" s="39" t="s">
        <v>135</v>
      </c>
      <c r="P90" s="39" t="s">
        <v>136</v>
      </c>
      <c r="Q90" s="40">
        <v>94104.0</v>
      </c>
      <c r="R90" s="39" t="s">
        <v>137</v>
      </c>
      <c r="S90" s="39" t="s">
        <v>18</v>
      </c>
      <c r="T90" s="39" t="s">
        <v>593</v>
      </c>
      <c r="U90" s="39" t="s">
        <v>59</v>
      </c>
      <c r="V90" s="39" t="s">
        <v>139</v>
      </c>
      <c r="W90" s="41">
        <v>45931.0</v>
      </c>
      <c r="X90" s="40">
        <v>230.0</v>
      </c>
      <c r="Y90" s="39" t="s">
        <v>1094</v>
      </c>
      <c r="Z90" s="41">
        <v>31870.0</v>
      </c>
      <c r="AA90" s="39" t="s">
        <v>141</v>
      </c>
      <c r="AB90" s="39" t="s">
        <v>180</v>
      </c>
      <c r="AC90" s="39" t="s">
        <v>279</v>
      </c>
      <c r="AD90" s="40">
        <v>282000.0</v>
      </c>
      <c r="AE90" s="40">
        <v>282000.0</v>
      </c>
      <c r="AF90" s="39" t="s">
        <v>144</v>
      </c>
      <c r="AG90" s="39" t="s">
        <v>145</v>
      </c>
      <c r="AH90" s="39" t="s">
        <v>293</v>
      </c>
      <c r="AI90" s="42" t="s">
        <v>1095</v>
      </c>
      <c r="AJ90" s="42" t="s">
        <v>1096</v>
      </c>
    </row>
    <row r="91" ht="15.75" customHeight="1">
      <c r="A91" s="40">
        <v>90.0</v>
      </c>
      <c r="B91" s="39" t="s">
        <v>1097</v>
      </c>
      <c r="C91" s="39" t="s">
        <v>1098</v>
      </c>
      <c r="D91" s="39" t="s">
        <v>1099</v>
      </c>
      <c r="E91" s="39" t="s">
        <v>1098</v>
      </c>
      <c r="F91" s="39" t="s">
        <v>255</v>
      </c>
      <c r="G91" s="39" t="s">
        <v>1100</v>
      </c>
      <c r="H91" s="39" t="s">
        <v>1101</v>
      </c>
      <c r="I91" s="39"/>
      <c r="J91" s="39" t="s">
        <v>1102</v>
      </c>
      <c r="K91" s="40">
        <v>3514.0</v>
      </c>
      <c r="L91" s="39" t="s">
        <v>1103</v>
      </c>
      <c r="M91" s="39" t="s">
        <v>208</v>
      </c>
      <c r="N91" s="39" t="s">
        <v>209</v>
      </c>
      <c r="O91" s="39" t="s">
        <v>135</v>
      </c>
      <c r="P91" s="39" t="s">
        <v>136</v>
      </c>
      <c r="Q91" s="40">
        <v>94105.0</v>
      </c>
      <c r="R91" s="39" t="s">
        <v>137</v>
      </c>
      <c r="S91" s="39" t="s">
        <v>18</v>
      </c>
      <c r="T91" s="39" t="s">
        <v>572</v>
      </c>
      <c r="U91" s="39" t="s">
        <v>57</v>
      </c>
      <c r="V91" s="39" t="s">
        <v>139</v>
      </c>
      <c r="W91" s="41">
        <v>45163.0</v>
      </c>
      <c r="X91" s="40">
        <v>193.0</v>
      </c>
      <c r="Y91" s="39" t="s">
        <v>1104</v>
      </c>
      <c r="Z91" s="41">
        <v>29406.0</v>
      </c>
      <c r="AA91" s="39" t="s">
        <v>279</v>
      </c>
      <c r="AB91" s="39" t="s">
        <v>142</v>
      </c>
      <c r="AC91" s="39" t="s">
        <v>279</v>
      </c>
      <c r="AD91" s="40">
        <v>152000.0</v>
      </c>
      <c r="AE91" s="40">
        <v>152000.0</v>
      </c>
      <c r="AF91" s="39" t="s">
        <v>144</v>
      </c>
      <c r="AG91" s="39" t="s">
        <v>145</v>
      </c>
      <c r="AH91" s="39" t="s">
        <v>293</v>
      </c>
      <c r="AI91" s="42" t="s">
        <v>1105</v>
      </c>
      <c r="AJ91" s="42" t="s">
        <v>1106</v>
      </c>
    </row>
    <row r="92" ht="15.75" customHeight="1">
      <c r="A92" s="40">
        <v>91.0</v>
      </c>
      <c r="B92" s="39" t="s">
        <v>1107</v>
      </c>
      <c r="C92" s="39" t="s">
        <v>352</v>
      </c>
      <c r="D92" s="39" t="s">
        <v>1108</v>
      </c>
      <c r="E92" s="39" t="s">
        <v>352</v>
      </c>
      <c r="F92" s="39" t="s">
        <v>217</v>
      </c>
      <c r="G92" s="39" t="s">
        <v>1109</v>
      </c>
      <c r="H92" s="39" t="s">
        <v>1110</v>
      </c>
      <c r="I92" s="39"/>
      <c r="J92" s="39" t="s">
        <v>1111</v>
      </c>
      <c r="K92" s="40">
        <v>8262.0</v>
      </c>
      <c r="L92" s="39" t="s">
        <v>1112</v>
      </c>
      <c r="M92" s="39" t="s">
        <v>191</v>
      </c>
      <c r="N92" s="39" t="s">
        <v>192</v>
      </c>
      <c r="O92" s="39" t="s">
        <v>193</v>
      </c>
      <c r="P92" s="39" t="s">
        <v>194</v>
      </c>
      <c r="Q92" s="40">
        <v>10011.0</v>
      </c>
      <c r="R92" s="39" t="s">
        <v>137</v>
      </c>
      <c r="S92" s="39" t="s">
        <v>17</v>
      </c>
      <c r="T92" s="39" t="s">
        <v>17</v>
      </c>
      <c r="U92" s="39" t="s">
        <v>54</v>
      </c>
      <c r="V92" s="39" t="s">
        <v>195</v>
      </c>
      <c r="W92" s="41">
        <v>45049.0</v>
      </c>
      <c r="X92" s="40">
        <v>240.0</v>
      </c>
      <c r="Y92" s="39" t="s">
        <v>1113</v>
      </c>
      <c r="Z92" s="41">
        <v>27155.0</v>
      </c>
      <c r="AA92" s="39" t="s">
        <v>141</v>
      </c>
      <c r="AB92" s="39" t="s">
        <v>180</v>
      </c>
      <c r="AC92" s="39" t="s">
        <v>197</v>
      </c>
      <c r="AD92" s="40">
        <v>256000.0</v>
      </c>
      <c r="AE92" s="40">
        <v>256000.0</v>
      </c>
      <c r="AF92" s="39" t="s">
        <v>144</v>
      </c>
      <c r="AG92" s="39" t="s">
        <v>145</v>
      </c>
      <c r="AH92" s="39" t="s">
        <v>293</v>
      </c>
      <c r="AI92" s="42" t="s">
        <v>1114</v>
      </c>
      <c r="AJ92" s="42" t="s">
        <v>1115</v>
      </c>
    </row>
    <row r="93" ht="15.75" customHeight="1">
      <c r="A93" s="40">
        <v>92.0</v>
      </c>
      <c r="B93" s="39" t="s">
        <v>1116</v>
      </c>
      <c r="C93" s="39" t="s">
        <v>1117</v>
      </c>
      <c r="D93" s="39" t="s">
        <v>231</v>
      </c>
      <c r="E93" s="39" t="s">
        <v>1117</v>
      </c>
      <c r="F93" s="39" t="s">
        <v>203</v>
      </c>
      <c r="G93" s="39" t="s">
        <v>1118</v>
      </c>
      <c r="H93" s="39" t="s">
        <v>1119</v>
      </c>
      <c r="I93" s="39"/>
      <c r="J93" s="39" t="s">
        <v>1120</v>
      </c>
      <c r="K93" s="40">
        <v>4340.0</v>
      </c>
      <c r="L93" s="39" t="s">
        <v>1121</v>
      </c>
      <c r="M93" s="39" t="s">
        <v>275</v>
      </c>
      <c r="N93" s="39"/>
      <c r="O93" s="39" t="s">
        <v>276</v>
      </c>
      <c r="P93" s="39" t="s">
        <v>277</v>
      </c>
      <c r="Q93" s="40">
        <v>98115.0</v>
      </c>
      <c r="R93" s="39" t="s">
        <v>137</v>
      </c>
      <c r="S93" s="39" t="s">
        <v>17</v>
      </c>
      <c r="T93" s="39" t="s">
        <v>17</v>
      </c>
      <c r="U93" s="39" t="s">
        <v>47</v>
      </c>
      <c r="V93" s="39" t="s">
        <v>161</v>
      </c>
      <c r="W93" s="41">
        <v>45895.0</v>
      </c>
      <c r="X93" s="40">
        <v>91.0</v>
      </c>
      <c r="Y93" s="39" t="s">
        <v>1122</v>
      </c>
      <c r="Z93" s="41">
        <v>34992.0</v>
      </c>
      <c r="AA93" s="39" t="s">
        <v>163</v>
      </c>
      <c r="AB93" s="39" t="s">
        <v>142</v>
      </c>
      <c r="AC93" s="39" t="s">
        <v>143</v>
      </c>
      <c r="AD93" s="40">
        <v>178000.0</v>
      </c>
      <c r="AE93" s="40">
        <v>178000.0</v>
      </c>
      <c r="AF93" s="39" t="s">
        <v>144</v>
      </c>
      <c r="AG93" s="39" t="s">
        <v>145</v>
      </c>
      <c r="AH93" s="39" t="s">
        <v>264</v>
      </c>
      <c r="AI93" s="42" t="s">
        <v>1123</v>
      </c>
      <c r="AJ93" s="42" t="s">
        <v>1124</v>
      </c>
    </row>
    <row r="94" ht="15.75" customHeight="1">
      <c r="A94" s="40">
        <v>93.0</v>
      </c>
      <c r="B94" s="39" t="s">
        <v>1125</v>
      </c>
      <c r="C94" s="39" t="s">
        <v>1126</v>
      </c>
      <c r="D94" s="39" t="s">
        <v>1127</v>
      </c>
      <c r="E94" s="39" t="s">
        <v>1126</v>
      </c>
      <c r="F94" s="39" t="s">
        <v>374</v>
      </c>
      <c r="G94" s="39" t="s">
        <v>1128</v>
      </c>
      <c r="H94" s="39" t="s">
        <v>1129</v>
      </c>
      <c r="I94" s="39"/>
      <c r="J94" s="39" t="s">
        <v>1130</v>
      </c>
      <c r="K94" s="40">
        <v>6991.0</v>
      </c>
      <c r="L94" s="39" t="s">
        <v>1131</v>
      </c>
      <c r="M94" s="39" t="s">
        <v>379</v>
      </c>
      <c r="N94" s="39" t="s">
        <v>380</v>
      </c>
      <c r="O94" s="39" t="s">
        <v>193</v>
      </c>
      <c r="P94" s="39" t="s">
        <v>194</v>
      </c>
      <c r="Q94" s="40">
        <v>10036.0</v>
      </c>
      <c r="R94" s="39" t="s">
        <v>137</v>
      </c>
      <c r="S94" s="39" t="s">
        <v>19</v>
      </c>
      <c r="T94" s="39" t="s">
        <v>236</v>
      </c>
      <c r="U94" s="39" t="s">
        <v>78</v>
      </c>
      <c r="V94" s="39" t="s">
        <v>195</v>
      </c>
      <c r="W94" s="41">
        <v>45417.0</v>
      </c>
      <c r="X94" s="40">
        <v>61.0</v>
      </c>
      <c r="Y94" s="39" t="s">
        <v>1132</v>
      </c>
      <c r="Z94" s="41">
        <v>34153.0</v>
      </c>
      <c r="AA94" s="39" t="s">
        <v>141</v>
      </c>
      <c r="AB94" s="39" t="s">
        <v>180</v>
      </c>
      <c r="AC94" s="39" t="s">
        <v>181</v>
      </c>
      <c r="AD94" s="40">
        <v>185000.0</v>
      </c>
      <c r="AE94" s="40">
        <v>185000.0</v>
      </c>
      <c r="AF94" s="39" t="s">
        <v>144</v>
      </c>
      <c r="AG94" s="39" t="s">
        <v>145</v>
      </c>
      <c r="AH94" s="39" t="s">
        <v>264</v>
      </c>
      <c r="AI94" s="42" t="s">
        <v>1133</v>
      </c>
      <c r="AJ94" s="42" t="s">
        <v>1134</v>
      </c>
    </row>
    <row r="95" ht="15.75" customHeight="1">
      <c r="A95" s="40">
        <v>94.0</v>
      </c>
      <c r="B95" s="39" t="s">
        <v>1135</v>
      </c>
      <c r="C95" s="39" t="s">
        <v>203</v>
      </c>
      <c r="D95" s="39" t="s">
        <v>1136</v>
      </c>
      <c r="E95" s="39" t="s">
        <v>203</v>
      </c>
      <c r="F95" s="39" t="s">
        <v>427</v>
      </c>
      <c r="G95" s="39" t="s">
        <v>1137</v>
      </c>
      <c r="H95" s="39" t="s">
        <v>1138</v>
      </c>
      <c r="I95" s="39"/>
      <c r="J95" s="39" t="s">
        <v>1139</v>
      </c>
      <c r="K95" s="40">
        <v>9648.0</v>
      </c>
      <c r="L95" s="39" t="s">
        <v>1140</v>
      </c>
      <c r="M95" s="39" t="s">
        <v>260</v>
      </c>
      <c r="N95" s="39" t="s">
        <v>261</v>
      </c>
      <c r="O95" s="39" t="s">
        <v>193</v>
      </c>
      <c r="P95" s="39" t="s">
        <v>194</v>
      </c>
      <c r="Q95" s="40">
        <v>10011.0</v>
      </c>
      <c r="R95" s="39" t="s">
        <v>137</v>
      </c>
      <c r="S95" s="39" t="s">
        <v>19</v>
      </c>
      <c r="T95" s="39" t="s">
        <v>160</v>
      </c>
      <c r="U95" s="39" t="s">
        <v>69</v>
      </c>
      <c r="V95" s="39" t="s">
        <v>195</v>
      </c>
      <c r="W95" s="41">
        <v>45130.0</v>
      </c>
      <c r="X95" s="40">
        <v>238.0</v>
      </c>
      <c r="Y95" s="39" t="s">
        <v>1141</v>
      </c>
      <c r="Z95" s="41">
        <v>31195.0</v>
      </c>
      <c r="AA95" s="39" t="s">
        <v>141</v>
      </c>
      <c r="AB95" s="39" t="s">
        <v>142</v>
      </c>
      <c r="AC95" s="39" t="s">
        <v>292</v>
      </c>
      <c r="AD95" s="40">
        <v>195000.0</v>
      </c>
      <c r="AE95" s="40">
        <v>195000.0</v>
      </c>
      <c r="AF95" s="39" t="s">
        <v>144</v>
      </c>
      <c r="AG95" s="39" t="s">
        <v>145</v>
      </c>
      <c r="AH95" s="39" t="s">
        <v>146</v>
      </c>
      <c r="AI95" s="42" t="s">
        <v>1142</v>
      </c>
      <c r="AJ95" s="42" t="s">
        <v>1143</v>
      </c>
    </row>
    <row r="96" ht="15.75" customHeight="1">
      <c r="A96" s="40">
        <v>95.0</v>
      </c>
      <c r="B96" s="39" t="s">
        <v>1144</v>
      </c>
      <c r="C96" s="39" t="s">
        <v>1145</v>
      </c>
      <c r="D96" s="39" t="s">
        <v>1146</v>
      </c>
      <c r="E96" s="39" t="s">
        <v>1145</v>
      </c>
      <c r="F96" s="39" t="s">
        <v>203</v>
      </c>
      <c r="G96" s="39" t="s">
        <v>1147</v>
      </c>
      <c r="H96" s="39" t="s">
        <v>1148</v>
      </c>
      <c r="I96" s="39"/>
      <c r="J96" s="39" t="s">
        <v>1149</v>
      </c>
      <c r="K96" s="40">
        <v>1080.0</v>
      </c>
      <c r="L96" s="39" t="s">
        <v>1150</v>
      </c>
      <c r="M96" s="39" t="s">
        <v>289</v>
      </c>
      <c r="N96" s="39"/>
      <c r="O96" s="39" t="s">
        <v>174</v>
      </c>
      <c r="P96" s="39" t="s">
        <v>175</v>
      </c>
      <c r="Q96" s="39" t="s">
        <v>290</v>
      </c>
      <c r="R96" s="39" t="s">
        <v>177</v>
      </c>
      <c r="S96" s="39" t="s">
        <v>19</v>
      </c>
      <c r="T96" s="39" t="s">
        <v>138</v>
      </c>
      <c r="U96" s="39" t="s">
        <v>73</v>
      </c>
      <c r="V96" s="39" t="s">
        <v>178</v>
      </c>
      <c r="W96" s="41">
        <v>44612.0</v>
      </c>
      <c r="X96" s="40">
        <v>108.0</v>
      </c>
      <c r="Y96" s="39" t="s">
        <v>1151</v>
      </c>
      <c r="Z96" s="41">
        <v>31143.0</v>
      </c>
      <c r="AA96" s="39" t="s">
        <v>141</v>
      </c>
      <c r="AB96" s="39" t="s">
        <v>180</v>
      </c>
      <c r="AC96" s="39" t="s">
        <v>143</v>
      </c>
      <c r="AD96" s="40">
        <v>148000.0</v>
      </c>
      <c r="AE96" s="40">
        <v>148000.0</v>
      </c>
      <c r="AF96" s="39" t="s">
        <v>144</v>
      </c>
      <c r="AG96" s="39" t="s">
        <v>145</v>
      </c>
      <c r="AH96" s="39" t="s">
        <v>146</v>
      </c>
      <c r="AI96" s="42" t="s">
        <v>1152</v>
      </c>
      <c r="AJ96" s="42" t="s">
        <v>1153</v>
      </c>
    </row>
    <row r="97" ht="15.75" customHeight="1">
      <c r="A97" s="40">
        <v>96.0</v>
      </c>
      <c r="B97" s="39" t="s">
        <v>1154</v>
      </c>
      <c r="C97" s="39" t="s">
        <v>270</v>
      </c>
      <c r="D97" s="39" t="s">
        <v>1155</v>
      </c>
      <c r="E97" s="39" t="s">
        <v>270</v>
      </c>
      <c r="F97" s="39" t="s">
        <v>427</v>
      </c>
      <c r="G97" s="39" t="s">
        <v>1156</v>
      </c>
      <c r="H97" s="39" t="s">
        <v>1157</v>
      </c>
      <c r="I97" s="39"/>
      <c r="J97" s="39" t="s">
        <v>1158</v>
      </c>
      <c r="K97" s="40">
        <v>7740.0</v>
      </c>
      <c r="L97" s="39" t="s">
        <v>1159</v>
      </c>
      <c r="M97" s="39" t="s">
        <v>133</v>
      </c>
      <c r="N97" s="39" t="s">
        <v>134</v>
      </c>
      <c r="O97" s="39" t="s">
        <v>135</v>
      </c>
      <c r="P97" s="39" t="s">
        <v>136</v>
      </c>
      <c r="Q97" s="40">
        <v>94108.0</v>
      </c>
      <c r="R97" s="39" t="s">
        <v>137</v>
      </c>
      <c r="S97" s="39" t="s">
        <v>19</v>
      </c>
      <c r="T97" s="39" t="s">
        <v>160</v>
      </c>
      <c r="U97" s="39" t="s">
        <v>72</v>
      </c>
      <c r="V97" s="39" t="s">
        <v>139</v>
      </c>
      <c r="W97" s="41">
        <v>45547.0</v>
      </c>
      <c r="X97" s="40">
        <v>143.0</v>
      </c>
      <c r="Y97" s="39" t="s">
        <v>1160</v>
      </c>
      <c r="Z97" s="41">
        <v>34196.0</v>
      </c>
      <c r="AA97" s="39" t="s">
        <v>141</v>
      </c>
      <c r="AB97" s="39" t="s">
        <v>180</v>
      </c>
      <c r="AC97" s="39" t="s">
        <v>197</v>
      </c>
      <c r="AD97" s="40">
        <v>126000.0</v>
      </c>
      <c r="AE97" s="40">
        <v>126000.0</v>
      </c>
      <c r="AF97" s="39" t="s">
        <v>144</v>
      </c>
      <c r="AG97" s="39" t="s">
        <v>145</v>
      </c>
      <c r="AH97" s="39" t="s">
        <v>146</v>
      </c>
      <c r="AI97" s="42" t="s">
        <v>1161</v>
      </c>
      <c r="AJ97" s="42" t="s">
        <v>1162</v>
      </c>
    </row>
    <row r="98" ht="15.75" customHeight="1">
      <c r="A98" s="40">
        <v>97.0</v>
      </c>
      <c r="B98" s="39" t="s">
        <v>1163</v>
      </c>
      <c r="C98" s="39" t="s">
        <v>1164</v>
      </c>
      <c r="D98" s="39" t="s">
        <v>1165</v>
      </c>
      <c r="E98" s="39" t="s">
        <v>1164</v>
      </c>
      <c r="F98" s="39" t="s">
        <v>217</v>
      </c>
      <c r="G98" s="39" t="s">
        <v>1166</v>
      </c>
      <c r="H98" s="39" t="s">
        <v>1167</v>
      </c>
      <c r="I98" s="39"/>
      <c r="J98" s="39" t="s">
        <v>1168</v>
      </c>
      <c r="K98" s="40">
        <v>6993.0</v>
      </c>
      <c r="L98" s="39" t="s">
        <v>1169</v>
      </c>
      <c r="M98" s="39" t="s">
        <v>222</v>
      </c>
      <c r="N98" s="39" t="s">
        <v>223</v>
      </c>
      <c r="O98" s="39" t="s">
        <v>135</v>
      </c>
      <c r="P98" s="39" t="s">
        <v>136</v>
      </c>
      <c r="Q98" s="40">
        <v>94104.0</v>
      </c>
      <c r="R98" s="39" t="s">
        <v>137</v>
      </c>
      <c r="S98" s="39" t="s">
        <v>19</v>
      </c>
      <c r="T98" s="39" t="s">
        <v>236</v>
      </c>
      <c r="U98" s="39" t="s">
        <v>74</v>
      </c>
      <c r="V98" s="39" t="s">
        <v>139</v>
      </c>
      <c r="W98" s="41">
        <v>44681.0</v>
      </c>
      <c r="X98" s="40">
        <v>237.0</v>
      </c>
      <c r="Y98" s="39" t="s">
        <v>1170</v>
      </c>
      <c r="Z98" s="41">
        <v>29482.0</v>
      </c>
      <c r="AA98" s="39" t="s">
        <v>263</v>
      </c>
      <c r="AB98" s="39" t="s">
        <v>180</v>
      </c>
      <c r="AC98" s="39" t="s">
        <v>181</v>
      </c>
      <c r="AD98" s="40">
        <v>201000.0</v>
      </c>
      <c r="AE98" s="40">
        <v>201000.0</v>
      </c>
      <c r="AF98" s="39" t="s">
        <v>144</v>
      </c>
      <c r="AG98" s="39" t="s">
        <v>145</v>
      </c>
      <c r="AH98" s="39" t="s">
        <v>264</v>
      </c>
      <c r="AI98" s="42" t="s">
        <v>1171</v>
      </c>
      <c r="AJ98" s="42" t="s">
        <v>1172</v>
      </c>
    </row>
    <row r="99" ht="15.75" customHeight="1">
      <c r="A99" s="40">
        <v>98.0</v>
      </c>
      <c r="B99" s="39" t="s">
        <v>1173</v>
      </c>
      <c r="C99" s="39" t="s">
        <v>1174</v>
      </c>
      <c r="D99" s="39" t="s">
        <v>1175</v>
      </c>
      <c r="E99" s="39" t="s">
        <v>1174</v>
      </c>
      <c r="F99" s="39" t="s">
        <v>186</v>
      </c>
      <c r="G99" s="39" t="s">
        <v>1176</v>
      </c>
      <c r="H99" s="39" t="s">
        <v>1177</v>
      </c>
      <c r="I99" s="39"/>
      <c r="J99" s="39" t="s">
        <v>1178</v>
      </c>
      <c r="K99" s="40">
        <v>9013.0</v>
      </c>
      <c r="L99" s="39" t="s">
        <v>1179</v>
      </c>
      <c r="M99" s="39" t="s">
        <v>260</v>
      </c>
      <c r="N99" s="39" t="s">
        <v>261</v>
      </c>
      <c r="O99" s="39" t="s">
        <v>193</v>
      </c>
      <c r="P99" s="39" t="s">
        <v>194</v>
      </c>
      <c r="Q99" s="40">
        <v>10011.0</v>
      </c>
      <c r="R99" s="39" t="s">
        <v>137</v>
      </c>
      <c r="S99" s="39" t="s">
        <v>19</v>
      </c>
      <c r="T99" s="39" t="s">
        <v>138</v>
      </c>
      <c r="U99" s="39" t="s">
        <v>68</v>
      </c>
      <c r="V99" s="39" t="s">
        <v>195</v>
      </c>
      <c r="W99" s="41">
        <v>45354.0</v>
      </c>
      <c r="X99" s="40">
        <v>172.0</v>
      </c>
      <c r="Y99" s="39" t="s">
        <v>1180</v>
      </c>
      <c r="Z99" s="41">
        <v>35285.0</v>
      </c>
      <c r="AA99" s="39" t="s">
        <v>163</v>
      </c>
      <c r="AB99" s="39" t="s">
        <v>180</v>
      </c>
      <c r="AC99" s="39" t="s">
        <v>279</v>
      </c>
      <c r="AD99" s="40">
        <v>137000.0</v>
      </c>
      <c r="AE99" s="40">
        <v>137000.0</v>
      </c>
      <c r="AF99" s="39" t="s">
        <v>144</v>
      </c>
      <c r="AG99" s="39" t="s">
        <v>145</v>
      </c>
      <c r="AH99" s="39" t="s">
        <v>146</v>
      </c>
      <c r="AI99" s="42" t="s">
        <v>1181</v>
      </c>
      <c r="AJ99" s="42" t="s">
        <v>1182</v>
      </c>
    </row>
    <row r="100" ht="15.75" customHeight="1">
      <c r="A100" s="40">
        <v>99.0</v>
      </c>
      <c r="B100" s="39" t="s">
        <v>1183</v>
      </c>
      <c r="C100" s="39" t="s">
        <v>1184</v>
      </c>
      <c r="D100" s="39" t="s">
        <v>1185</v>
      </c>
      <c r="E100" s="39" t="s">
        <v>1184</v>
      </c>
      <c r="F100" s="39" t="s">
        <v>255</v>
      </c>
      <c r="G100" s="39" t="s">
        <v>1186</v>
      </c>
      <c r="H100" s="39" t="s">
        <v>1187</v>
      </c>
      <c r="I100" s="39"/>
      <c r="J100" s="39" t="s">
        <v>1188</v>
      </c>
      <c r="K100" s="40">
        <v>2426.0</v>
      </c>
      <c r="L100" s="39" t="s">
        <v>1189</v>
      </c>
      <c r="M100" s="39" t="s">
        <v>247</v>
      </c>
      <c r="N100" s="39" t="s">
        <v>248</v>
      </c>
      <c r="O100" s="39" t="s">
        <v>135</v>
      </c>
      <c r="P100" s="39" t="s">
        <v>136</v>
      </c>
      <c r="Q100" s="40">
        <v>94103.0</v>
      </c>
      <c r="R100" s="39" t="s">
        <v>137</v>
      </c>
      <c r="S100" s="39" t="s">
        <v>19</v>
      </c>
      <c r="T100" s="39" t="s">
        <v>236</v>
      </c>
      <c r="U100" s="39" t="s">
        <v>76</v>
      </c>
      <c r="V100" s="39" t="s">
        <v>139</v>
      </c>
      <c r="W100" s="41">
        <v>45897.0</v>
      </c>
      <c r="X100" s="40">
        <v>130.0</v>
      </c>
      <c r="Y100" s="39" t="s">
        <v>1190</v>
      </c>
      <c r="Z100" s="41">
        <v>31628.0</v>
      </c>
      <c r="AA100" s="39" t="s">
        <v>163</v>
      </c>
      <c r="AB100" s="39" t="s">
        <v>180</v>
      </c>
      <c r="AC100" s="39" t="s">
        <v>181</v>
      </c>
      <c r="AD100" s="40">
        <v>175000.0</v>
      </c>
      <c r="AE100" s="40">
        <v>175000.0</v>
      </c>
      <c r="AF100" s="39" t="s">
        <v>144</v>
      </c>
      <c r="AG100" s="39" t="s">
        <v>145</v>
      </c>
      <c r="AH100" s="39" t="s">
        <v>146</v>
      </c>
      <c r="AI100" s="42" t="s">
        <v>1191</v>
      </c>
      <c r="AJ100" s="42" t="s">
        <v>1192</v>
      </c>
    </row>
    <row r="101" ht="15.75" customHeight="1">
      <c r="A101" s="40">
        <v>100.0</v>
      </c>
      <c r="B101" s="39" t="s">
        <v>1193</v>
      </c>
      <c r="C101" s="39" t="s">
        <v>1194</v>
      </c>
      <c r="D101" s="39" t="s">
        <v>1195</v>
      </c>
      <c r="E101" s="39" t="s">
        <v>1194</v>
      </c>
      <c r="F101" s="39" t="s">
        <v>203</v>
      </c>
      <c r="G101" s="39" t="s">
        <v>1196</v>
      </c>
      <c r="H101" s="39" t="s">
        <v>1197</v>
      </c>
      <c r="I101" s="39"/>
      <c r="J101" s="39" t="s">
        <v>1198</v>
      </c>
      <c r="K101" s="40">
        <v>7848.0</v>
      </c>
      <c r="L101" s="39" t="s">
        <v>1199</v>
      </c>
      <c r="M101" s="39" t="s">
        <v>247</v>
      </c>
      <c r="N101" s="39" t="s">
        <v>248</v>
      </c>
      <c r="O101" s="39" t="s">
        <v>135</v>
      </c>
      <c r="P101" s="39" t="s">
        <v>136</v>
      </c>
      <c r="Q101" s="40">
        <v>94103.0</v>
      </c>
      <c r="R101" s="39" t="s">
        <v>137</v>
      </c>
      <c r="S101" s="39" t="s">
        <v>19</v>
      </c>
      <c r="T101" s="39" t="s">
        <v>160</v>
      </c>
      <c r="U101" s="39" t="s">
        <v>69</v>
      </c>
      <c r="V101" s="39" t="s">
        <v>139</v>
      </c>
      <c r="W101" s="41">
        <v>44841.0</v>
      </c>
      <c r="X101" s="40">
        <v>238.0</v>
      </c>
      <c r="Y101" s="39" t="s">
        <v>1200</v>
      </c>
      <c r="Z101" s="41">
        <v>34395.0</v>
      </c>
      <c r="AA101" s="39" t="s">
        <v>163</v>
      </c>
      <c r="AB101" s="39" t="s">
        <v>180</v>
      </c>
      <c r="AC101" s="39" t="s">
        <v>279</v>
      </c>
      <c r="AD101" s="40">
        <v>181000.0</v>
      </c>
      <c r="AE101" s="40">
        <v>181000.0</v>
      </c>
      <c r="AF101" s="39" t="s">
        <v>144</v>
      </c>
      <c r="AG101" s="39" t="s">
        <v>145</v>
      </c>
      <c r="AH101" s="39" t="s">
        <v>264</v>
      </c>
      <c r="AI101" s="42" t="s">
        <v>1201</v>
      </c>
      <c r="AJ101" s="42" t="s">
        <v>1202</v>
      </c>
    </row>
    <row r="102" ht="15.75" customHeight="1">
      <c r="A102" s="40">
        <v>101.0</v>
      </c>
      <c r="B102" s="39" t="s">
        <v>1203</v>
      </c>
      <c r="C102" s="39" t="s">
        <v>1204</v>
      </c>
      <c r="D102" s="39" t="s">
        <v>1205</v>
      </c>
      <c r="E102" s="39" t="s">
        <v>1204</v>
      </c>
      <c r="F102" s="39" t="s">
        <v>217</v>
      </c>
      <c r="G102" s="39" t="s">
        <v>1206</v>
      </c>
      <c r="H102" s="39" t="s">
        <v>1207</v>
      </c>
      <c r="I102" s="39"/>
      <c r="J102" s="39" t="s">
        <v>1208</v>
      </c>
      <c r="K102" s="40">
        <v>4364.0</v>
      </c>
      <c r="L102" s="39" t="s">
        <v>1209</v>
      </c>
      <c r="M102" s="39" t="s">
        <v>247</v>
      </c>
      <c r="N102" s="39" t="s">
        <v>248</v>
      </c>
      <c r="O102" s="39" t="s">
        <v>135</v>
      </c>
      <c r="P102" s="39" t="s">
        <v>136</v>
      </c>
      <c r="Q102" s="40">
        <v>94103.0</v>
      </c>
      <c r="R102" s="39" t="s">
        <v>137</v>
      </c>
      <c r="S102" s="39" t="s">
        <v>18</v>
      </c>
      <c r="T102" s="39" t="s">
        <v>593</v>
      </c>
      <c r="U102" s="39" t="s">
        <v>58</v>
      </c>
      <c r="V102" s="39" t="s">
        <v>139</v>
      </c>
      <c r="W102" s="41">
        <v>45354.0</v>
      </c>
      <c r="X102" s="40">
        <v>102.0</v>
      </c>
      <c r="Y102" s="39" t="s">
        <v>1210</v>
      </c>
      <c r="Z102" s="41">
        <v>36057.0</v>
      </c>
      <c r="AA102" s="39" t="s">
        <v>141</v>
      </c>
      <c r="AB102" s="39" t="s">
        <v>180</v>
      </c>
      <c r="AC102" s="39" t="s">
        <v>181</v>
      </c>
      <c r="AD102" s="40">
        <v>124000.0</v>
      </c>
      <c r="AE102" s="40">
        <v>124000.0</v>
      </c>
      <c r="AF102" s="39" t="s">
        <v>144</v>
      </c>
      <c r="AG102" s="39" t="s">
        <v>145</v>
      </c>
      <c r="AH102" s="39" t="s">
        <v>293</v>
      </c>
      <c r="AI102" s="42" t="s">
        <v>1211</v>
      </c>
      <c r="AJ102" s="42" t="s">
        <v>1212</v>
      </c>
    </row>
    <row r="103" ht="15.75" customHeight="1">
      <c r="A103" s="40">
        <v>102.0</v>
      </c>
      <c r="B103" s="39" t="s">
        <v>1213</v>
      </c>
      <c r="C103" s="39" t="s">
        <v>1214</v>
      </c>
      <c r="D103" s="39" t="s">
        <v>1215</v>
      </c>
      <c r="E103" s="39" t="s">
        <v>1214</v>
      </c>
      <c r="F103" s="39" t="s">
        <v>270</v>
      </c>
      <c r="G103" s="39" t="s">
        <v>1216</v>
      </c>
      <c r="H103" s="39" t="s">
        <v>1217</v>
      </c>
      <c r="I103" s="39"/>
      <c r="J103" s="39" t="s">
        <v>1218</v>
      </c>
      <c r="K103" s="40">
        <v>2010.0</v>
      </c>
      <c r="L103" s="39" t="s">
        <v>1219</v>
      </c>
      <c r="M103" s="39" t="s">
        <v>208</v>
      </c>
      <c r="N103" s="39" t="s">
        <v>209</v>
      </c>
      <c r="O103" s="39" t="s">
        <v>135</v>
      </c>
      <c r="P103" s="39" t="s">
        <v>136</v>
      </c>
      <c r="Q103" s="40">
        <v>94105.0</v>
      </c>
      <c r="R103" s="39" t="s">
        <v>137</v>
      </c>
      <c r="S103" s="39" t="s">
        <v>18</v>
      </c>
      <c r="T103" s="39" t="s">
        <v>593</v>
      </c>
      <c r="U103" s="39" t="s">
        <v>66</v>
      </c>
      <c r="V103" s="39" t="s">
        <v>139</v>
      </c>
      <c r="W103" s="41">
        <v>44995.0</v>
      </c>
      <c r="X103" s="40">
        <v>236.0</v>
      </c>
      <c r="Y103" s="39" t="s">
        <v>1220</v>
      </c>
      <c r="Z103" s="41">
        <v>30464.0</v>
      </c>
      <c r="AA103" s="39" t="s">
        <v>163</v>
      </c>
      <c r="AB103" s="39" t="s">
        <v>225</v>
      </c>
      <c r="AC103" s="39" t="s">
        <v>181</v>
      </c>
      <c r="AD103" s="40">
        <v>328000.0</v>
      </c>
      <c r="AE103" s="40">
        <v>328000.0</v>
      </c>
      <c r="AF103" s="39" t="s">
        <v>144</v>
      </c>
      <c r="AG103" s="39" t="s">
        <v>145</v>
      </c>
      <c r="AH103" s="39" t="s">
        <v>146</v>
      </c>
      <c r="AI103" s="42" t="s">
        <v>1221</v>
      </c>
      <c r="AJ103" s="42" t="s">
        <v>1222</v>
      </c>
    </row>
    <row r="104" ht="15.75" customHeight="1">
      <c r="A104" s="40">
        <v>103.0</v>
      </c>
      <c r="B104" s="39" t="s">
        <v>1223</v>
      </c>
      <c r="C104" s="39" t="s">
        <v>1224</v>
      </c>
      <c r="D104" s="39" t="s">
        <v>1225</v>
      </c>
      <c r="E104" s="39" t="s">
        <v>1224</v>
      </c>
      <c r="F104" s="39" t="s">
        <v>231</v>
      </c>
      <c r="G104" s="39" t="s">
        <v>1226</v>
      </c>
      <c r="H104" s="39" t="s">
        <v>1227</v>
      </c>
      <c r="I104" s="39"/>
      <c r="J104" s="39" t="s">
        <v>1228</v>
      </c>
      <c r="K104" s="40">
        <v>7887.0</v>
      </c>
      <c r="L104" s="39" t="s">
        <v>1229</v>
      </c>
      <c r="M104" s="39" t="s">
        <v>752</v>
      </c>
      <c r="N104" s="39" t="s">
        <v>753</v>
      </c>
      <c r="O104" s="39" t="s">
        <v>754</v>
      </c>
      <c r="P104" s="39" t="s">
        <v>194</v>
      </c>
      <c r="Q104" s="40">
        <v>11249.0</v>
      </c>
      <c r="R104" s="39" t="s">
        <v>137</v>
      </c>
      <c r="S104" s="39" t="s">
        <v>17</v>
      </c>
      <c r="T104" s="39" t="s">
        <v>17</v>
      </c>
      <c r="U104" s="39" t="s">
        <v>46</v>
      </c>
      <c r="V104" s="39" t="s">
        <v>161</v>
      </c>
      <c r="W104" s="41">
        <v>45869.0</v>
      </c>
      <c r="X104" s="40">
        <v>92.0</v>
      </c>
      <c r="Y104" s="39" t="s">
        <v>1230</v>
      </c>
      <c r="Z104" s="41">
        <v>35981.0</v>
      </c>
      <c r="AA104" s="39" t="s">
        <v>141</v>
      </c>
      <c r="AB104" s="39" t="s">
        <v>142</v>
      </c>
      <c r="AC104" s="39" t="s">
        <v>197</v>
      </c>
      <c r="AD104" s="40">
        <v>118000.0</v>
      </c>
      <c r="AE104" s="40">
        <v>118000.0</v>
      </c>
      <c r="AF104" s="39" t="s">
        <v>144</v>
      </c>
      <c r="AG104" s="39" t="s">
        <v>145</v>
      </c>
      <c r="AH104" s="39" t="s">
        <v>293</v>
      </c>
      <c r="AI104" s="42" t="s">
        <v>1231</v>
      </c>
      <c r="AJ104" s="42" t="s">
        <v>1232</v>
      </c>
    </row>
    <row r="105" ht="15.75" customHeight="1">
      <c r="A105" s="40">
        <v>104.0</v>
      </c>
      <c r="B105" s="39" t="s">
        <v>1233</v>
      </c>
      <c r="C105" s="39" t="s">
        <v>1234</v>
      </c>
      <c r="D105" s="39" t="s">
        <v>1235</v>
      </c>
      <c r="E105" s="39" t="s">
        <v>1234</v>
      </c>
      <c r="F105" s="39" t="s">
        <v>255</v>
      </c>
      <c r="G105" s="39" t="s">
        <v>1236</v>
      </c>
      <c r="H105" s="39" t="s">
        <v>1237</v>
      </c>
      <c r="I105" s="39"/>
      <c r="J105" s="39" t="s">
        <v>1238</v>
      </c>
      <c r="K105" s="40">
        <v>6639.0</v>
      </c>
      <c r="L105" s="39" t="s">
        <v>1239</v>
      </c>
      <c r="M105" s="39" t="s">
        <v>222</v>
      </c>
      <c r="N105" s="39" t="s">
        <v>223</v>
      </c>
      <c r="O105" s="39" t="s">
        <v>135</v>
      </c>
      <c r="P105" s="39" t="s">
        <v>136</v>
      </c>
      <c r="Q105" s="40">
        <v>94104.0</v>
      </c>
      <c r="R105" s="39" t="s">
        <v>137</v>
      </c>
      <c r="S105" s="39" t="s">
        <v>16</v>
      </c>
      <c r="T105" s="39" t="s">
        <v>16</v>
      </c>
      <c r="U105" s="39" t="s">
        <v>85</v>
      </c>
      <c r="V105" s="39" t="s">
        <v>139</v>
      </c>
      <c r="W105" s="41">
        <v>44627.0</v>
      </c>
      <c r="X105" s="40">
        <v>158.0</v>
      </c>
      <c r="Y105" s="39" t="s">
        <v>1240</v>
      </c>
      <c r="Z105" s="41">
        <v>33904.0</v>
      </c>
      <c r="AA105" s="39" t="s">
        <v>141</v>
      </c>
      <c r="AB105" s="39" t="s">
        <v>304</v>
      </c>
      <c r="AC105" s="39" t="s">
        <v>197</v>
      </c>
      <c r="AD105" s="40">
        <v>195000.0</v>
      </c>
      <c r="AE105" s="40">
        <v>195000.0</v>
      </c>
      <c r="AF105" s="39" t="s">
        <v>144</v>
      </c>
      <c r="AG105" s="39" t="s">
        <v>145</v>
      </c>
      <c r="AH105" s="39" t="s">
        <v>293</v>
      </c>
      <c r="AI105" s="42" t="s">
        <v>1241</v>
      </c>
      <c r="AJ105" s="42" t="s">
        <v>1242</v>
      </c>
    </row>
    <row r="106" ht="15.75" customHeight="1">
      <c r="A106" s="40">
        <v>105.0</v>
      </c>
      <c r="B106" s="39" t="s">
        <v>1243</v>
      </c>
      <c r="C106" s="39" t="s">
        <v>1244</v>
      </c>
      <c r="D106" s="39" t="s">
        <v>1245</v>
      </c>
      <c r="E106" s="39" t="s">
        <v>1244</v>
      </c>
      <c r="F106" s="39" t="s">
        <v>270</v>
      </c>
      <c r="G106" s="39" t="s">
        <v>1246</v>
      </c>
      <c r="H106" s="39" t="s">
        <v>1247</v>
      </c>
      <c r="I106" s="39"/>
      <c r="J106" s="39" t="s">
        <v>1248</v>
      </c>
      <c r="K106" s="40">
        <v>915.0</v>
      </c>
      <c r="L106" s="39" t="s">
        <v>1249</v>
      </c>
      <c r="M106" s="39" t="s">
        <v>208</v>
      </c>
      <c r="N106" s="39" t="s">
        <v>209</v>
      </c>
      <c r="O106" s="39" t="s">
        <v>135</v>
      </c>
      <c r="P106" s="39" t="s">
        <v>136</v>
      </c>
      <c r="Q106" s="40">
        <v>94105.0</v>
      </c>
      <c r="R106" s="39" t="s">
        <v>137</v>
      </c>
      <c r="S106" s="39" t="s">
        <v>19</v>
      </c>
      <c r="T106" s="39" t="s">
        <v>160</v>
      </c>
      <c r="U106" s="39" t="s">
        <v>77</v>
      </c>
      <c r="V106" s="39" t="s">
        <v>139</v>
      </c>
      <c r="W106" s="41">
        <v>44591.0</v>
      </c>
      <c r="X106" s="40">
        <v>151.0</v>
      </c>
      <c r="Y106" s="39" t="s">
        <v>1250</v>
      </c>
      <c r="Z106" s="41">
        <v>32976.0</v>
      </c>
      <c r="AA106" s="39" t="s">
        <v>141</v>
      </c>
      <c r="AB106" s="39" t="s">
        <v>142</v>
      </c>
      <c r="AC106" s="39" t="s">
        <v>143</v>
      </c>
      <c r="AD106" s="40">
        <v>163000.0</v>
      </c>
      <c r="AE106" s="40">
        <v>163000.0</v>
      </c>
      <c r="AF106" s="39" t="s">
        <v>144</v>
      </c>
      <c r="AG106" s="39" t="s">
        <v>145</v>
      </c>
      <c r="AH106" s="39" t="s">
        <v>264</v>
      </c>
      <c r="AI106" s="42" t="s">
        <v>1251</v>
      </c>
      <c r="AJ106" s="42" t="s">
        <v>1252</v>
      </c>
    </row>
    <row r="107" ht="15.75" customHeight="1">
      <c r="A107" s="40">
        <v>106.0</v>
      </c>
      <c r="B107" s="39" t="s">
        <v>1253</v>
      </c>
      <c r="C107" s="39" t="s">
        <v>1254</v>
      </c>
      <c r="D107" s="39" t="s">
        <v>1255</v>
      </c>
      <c r="E107" s="39" t="s">
        <v>1254</v>
      </c>
      <c r="F107" s="39" t="s">
        <v>270</v>
      </c>
      <c r="G107" s="39" t="s">
        <v>1256</v>
      </c>
      <c r="H107" s="39" t="s">
        <v>1257</v>
      </c>
      <c r="I107" s="39"/>
      <c r="J107" s="39" t="s">
        <v>1258</v>
      </c>
      <c r="K107" s="40">
        <v>3403.0</v>
      </c>
      <c r="L107" s="39" t="s">
        <v>1259</v>
      </c>
      <c r="M107" s="39" t="s">
        <v>208</v>
      </c>
      <c r="N107" s="39" t="s">
        <v>209</v>
      </c>
      <c r="O107" s="39" t="s">
        <v>135</v>
      </c>
      <c r="P107" s="39" t="s">
        <v>136</v>
      </c>
      <c r="Q107" s="40">
        <v>94105.0</v>
      </c>
      <c r="R107" s="39" t="s">
        <v>137</v>
      </c>
      <c r="S107" s="39" t="s">
        <v>19</v>
      </c>
      <c r="T107" s="39" t="s">
        <v>160</v>
      </c>
      <c r="U107" s="39" t="s">
        <v>68</v>
      </c>
      <c r="V107" s="39" t="s">
        <v>139</v>
      </c>
      <c r="W107" s="41">
        <v>44964.0</v>
      </c>
      <c r="X107" s="40">
        <v>204.0</v>
      </c>
      <c r="Y107" s="39" t="s">
        <v>1260</v>
      </c>
      <c r="Z107" s="41">
        <v>37303.0</v>
      </c>
      <c r="AA107" s="39" t="s">
        <v>141</v>
      </c>
      <c r="AB107" s="39" t="s">
        <v>142</v>
      </c>
      <c r="AC107" s="39" t="s">
        <v>197</v>
      </c>
      <c r="AD107" s="40">
        <v>127000.0</v>
      </c>
      <c r="AE107" s="40">
        <v>127000.0</v>
      </c>
      <c r="AF107" s="39" t="s">
        <v>144</v>
      </c>
      <c r="AG107" s="39" t="s">
        <v>145</v>
      </c>
      <c r="AH107" s="39" t="s">
        <v>146</v>
      </c>
      <c r="AI107" s="42" t="s">
        <v>1261</v>
      </c>
      <c r="AJ107" s="42" t="s">
        <v>1262</v>
      </c>
    </row>
    <row r="108" ht="15.75" customHeight="1">
      <c r="A108" s="40">
        <v>107.0</v>
      </c>
      <c r="B108" s="39" t="s">
        <v>1263</v>
      </c>
      <c r="C108" s="39" t="s">
        <v>1264</v>
      </c>
      <c r="D108" s="39" t="s">
        <v>1265</v>
      </c>
      <c r="E108" s="39" t="s">
        <v>1264</v>
      </c>
      <c r="F108" s="39" t="s">
        <v>255</v>
      </c>
      <c r="G108" s="39" t="s">
        <v>1266</v>
      </c>
      <c r="H108" s="39" t="s">
        <v>1267</v>
      </c>
      <c r="I108" s="39"/>
      <c r="J108" s="39" t="s">
        <v>1268</v>
      </c>
      <c r="K108" s="40">
        <v>6164.0</v>
      </c>
      <c r="L108" s="39" t="s">
        <v>1269</v>
      </c>
      <c r="M108" s="39" t="s">
        <v>222</v>
      </c>
      <c r="N108" s="39" t="s">
        <v>223</v>
      </c>
      <c r="O108" s="39" t="s">
        <v>135</v>
      </c>
      <c r="P108" s="39" t="s">
        <v>136</v>
      </c>
      <c r="Q108" s="40">
        <v>94104.0</v>
      </c>
      <c r="R108" s="39" t="s">
        <v>137</v>
      </c>
      <c r="S108" s="39" t="s">
        <v>19</v>
      </c>
      <c r="T108" s="39" t="s">
        <v>160</v>
      </c>
      <c r="U108" s="39" t="s">
        <v>69</v>
      </c>
      <c r="V108" s="39" t="s">
        <v>139</v>
      </c>
      <c r="W108" s="41">
        <v>44832.0</v>
      </c>
      <c r="X108" s="40">
        <v>238.0</v>
      </c>
      <c r="Y108" s="39" t="s">
        <v>1270</v>
      </c>
      <c r="Z108" s="41">
        <v>27820.0</v>
      </c>
      <c r="AA108" s="39" t="s">
        <v>141</v>
      </c>
      <c r="AB108" s="39" t="s">
        <v>142</v>
      </c>
      <c r="AC108" s="39" t="s">
        <v>197</v>
      </c>
      <c r="AD108" s="40">
        <v>207000.0</v>
      </c>
      <c r="AE108" s="40">
        <v>207000.0</v>
      </c>
      <c r="AF108" s="39" t="s">
        <v>144</v>
      </c>
      <c r="AG108" s="39" t="s">
        <v>145</v>
      </c>
      <c r="AH108" s="39" t="s">
        <v>264</v>
      </c>
      <c r="AI108" s="42" t="s">
        <v>1271</v>
      </c>
      <c r="AJ108" s="42" t="s">
        <v>1272</v>
      </c>
    </row>
    <row r="109" ht="15.75" customHeight="1">
      <c r="A109" s="40">
        <v>108.0</v>
      </c>
      <c r="B109" s="39" t="s">
        <v>1273</v>
      </c>
      <c r="C109" s="39" t="s">
        <v>1274</v>
      </c>
      <c r="D109" s="39" t="s">
        <v>1275</v>
      </c>
      <c r="E109" s="39" t="s">
        <v>1274</v>
      </c>
      <c r="F109" s="39" t="s">
        <v>374</v>
      </c>
      <c r="G109" s="39" t="s">
        <v>1276</v>
      </c>
      <c r="H109" s="39" t="s">
        <v>1277</v>
      </c>
      <c r="I109" s="39"/>
      <c r="J109" s="39" t="s">
        <v>1278</v>
      </c>
      <c r="K109" s="40">
        <v>3374.0</v>
      </c>
      <c r="L109" s="39" t="s">
        <v>1279</v>
      </c>
      <c r="M109" s="39" t="s">
        <v>247</v>
      </c>
      <c r="N109" s="39" t="s">
        <v>248</v>
      </c>
      <c r="O109" s="39" t="s">
        <v>135</v>
      </c>
      <c r="P109" s="39" t="s">
        <v>136</v>
      </c>
      <c r="Q109" s="40">
        <v>94103.0</v>
      </c>
      <c r="R109" s="39" t="s">
        <v>137</v>
      </c>
      <c r="S109" s="39" t="s">
        <v>19</v>
      </c>
      <c r="T109" s="39" t="s">
        <v>138</v>
      </c>
      <c r="U109" s="39" t="s">
        <v>74</v>
      </c>
      <c r="V109" s="39" t="s">
        <v>139</v>
      </c>
      <c r="W109" s="41">
        <v>45212.0</v>
      </c>
      <c r="X109" s="40">
        <v>237.0</v>
      </c>
      <c r="Y109" s="39" t="s">
        <v>1280</v>
      </c>
      <c r="Z109" s="41">
        <v>28933.0</v>
      </c>
      <c r="AA109" s="39" t="s">
        <v>141</v>
      </c>
      <c r="AB109" s="39" t="s">
        <v>180</v>
      </c>
      <c r="AC109" s="39" t="s">
        <v>143</v>
      </c>
      <c r="AD109" s="40">
        <v>189000.0</v>
      </c>
      <c r="AE109" s="40">
        <v>189000.0</v>
      </c>
      <c r="AF109" s="39" t="s">
        <v>144</v>
      </c>
      <c r="AG109" s="39" t="s">
        <v>145</v>
      </c>
      <c r="AH109" s="39" t="s">
        <v>293</v>
      </c>
      <c r="AI109" s="42" t="s">
        <v>1281</v>
      </c>
      <c r="AJ109" s="42" t="s">
        <v>1282</v>
      </c>
    </row>
    <row r="110" ht="15.75" customHeight="1">
      <c r="A110" s="40">
        <v>109.0</v>
      </c>
      <c r="B110" s="39" t="s">
        <v>1283</v>
      </c>
      <c r="C110" s="39" t="s">
        <v>1284</v>
      </c>
      <c r="D110" s="39" t="s">
        <v>1285</v>
      </c>
      <c r="E110" s="39" t="s">
        <v>1284</v>
      </c>
      <c r="F110" s="39" t="s">
        <v>270</v>
      </c>
      <c r="G110" s="39" t="s">
        <v>1286</v>
      </c>
      <c r="H110" s="39" t="s">
        <v>1287</v>
      </c>
      <c r="I110" s="39"/>
      <c r="J110" s="39" t="s">
        <v>1288</v>
      </c>
      <c r="K110" s="40">
        <v>2342.0</v>
      </c>
      <c r="L110" s="39" t="s">
        <v>1289</v>
      </c>
      <c r="M110" s="39" t="s">
        <v>247</v>
      </c>
      <c r="N110" s="39" t="s">
        <v>248</v>
      </c>
      <c r="O110" s="39" t="s">
        <v>135</v>
      </c>
      <c r="P110" s="39" t="s">
        <v>136</v>
      </c>
      <c r="Q110" s="40">
        <v>94103.0</v>
      </c>
      <c r="R110" s="39" t="s">
        <v>137</v>
      </c>
      <c r="S110" s="39" t="s">
        <v>19</v>
      </c>
      <c r="T110" s="39" t="s">
        <v>160</v>
      </c>
      <c r="U110" s="39" t="s">
        <v>77</v>
      </c>
      <c r="V110" s="39" t="s">
        <v>139</v>
      </c>
      <c r="W110" s="41">
        <v>45742.0</v>
      </c>
      <c r="X110" s="40">
        <v>46.0</v>
      </c>
      <c r="Y110" s="39" t="s">
        <v>1290</v>
      </c>
      <c r="Z110" s="41">
        <v>36620.0</v>
      </c>
      <c r="AA110" s="39" t="s">
        <v>163</v>
      </c>
      <c r="AB110" s="39" t="s">
        <v>180</v>
      </c>
      <c r="AC110" s="39" t="s">
        <v>197</v>
      </c>
      <c r="AD110" s="40">
        <v>116000.0</v>
      </c>
      <c r="AE110" s="40">
        <v>116000.0</v>
      </c>
      <c r="AF110" s="39" t="s">
        <v>144</v>
      </c>
      <c r="AG110" s="39" t="s">
        <v>145</v>
      </c>
      <c r="AH110" s="39" t="s">
        <v>293</v>
      </c>
      <c r="AI110" s="42" t="s">
        <v>1291</v>
      </c>
      <c r="AJ110" s="42" t="s">
        <v>1292</v>
      </c>
    </row>
    <row r="111" ht="15.75" customHeight="1">
      <c r="A111" s="40">
        <v>110.0</v>
      </c>
      <c r="B111" s="39" t="s">
        <v>1293</v>
      </c>
      <c r="C111" s="39" t="s">
        <v>1294</v>
      </c>
      <c r="D111" s="39" t="s">
        <v>1295</v>
      </c>
      <c r="E111" s="39" t="s">
        <v>1294</v>
      </c>
      <c r="F111" s="39" t="s">
        <v>270</v>
      </c>
      <c r="G111" s="39" t="s">
        <v>1296</v>
      </c>
      <c r="H111" s="39" t="s">
        <v>1297</v>
      </c>
      <c r="I111" s="39"/>
      <c r="J111" s="39" t="s">
        <v>1298</v>
      </c>
      <c r="K111" s="40">
        <v>5921.0</v>
      </c>
      <c r="L111" s="39" t="s">
        <v>1299</v>
      </c>
      <c r="M111" s="39" t="s">
        <v>1300</v>
      </c>
      <c r="N111" s="39"/>
      <c r="O111" s="39" t="s">
        <v>1301</v>
      </c>
      <c r="P111" s="39" t="s">
        <v>1302</v>
      </c>
      <c r="Q111" s="40">
        <v>97477.0</v>
      </c>
      <c r="R111" s="39" t="s">
        <v>137</v>
      </c>
      <c r="S111" s="39" t="s">
        <v>19</v>
      </c>
      <c r="T111" s="39" t="s">
        <v>138</v>
      </c>
      <c r="U111" s="39" t="s">
        <v>68</v>
      </c>
      <c r="V111" s="39" t="s">
        <v>161</v>
      </c>
      <c r="W111" s="41">
        <v>45043.0</v>
      </c>
      <c r="X111" s="40">
        <v>173.0</v>
      </c>
      <c r="Y111" s="39" t="s">
        <v>1303</v>
      </c>
      <c r="Z111" s="41">
        <v>34384.0</v>
      </c>
      <c r="AA111" s="39" t="s">
        <v>141</v>
      </c>
      <c r="AB111" s="39" t="s">
        <v>142</v>
      </c>
      <c r="AC111" s="39" t="s">
        <v>279</v>
      </c>
      <c r="AD111" s="40">
        <v>162000.0</v>
      </c>
      <c r="AE111" s="40">
        <v>162000.0</v>
      </c>
      <c r="AF111" s="39" t="s">
        <v>144</v>
      </c>
      <c r="AG111" s="39" t="s">
        <v>145</v>
      </c>
      <c r="AH111" s="39" t="s">
        <v>264</v>
      </c>
      <c r="AI111" s="42" t="s">
        <v>1304</v>
      </c>
      <c r="AJ111" s="42" t="s">
        <v>1305</v>
      </c>
    </row>
    <row r="112" ht="15.75" customHeight="1">
      <c r="A112" s="40">
        <v>111.0</v>
      </c>
      <c r="B112" s="39" t="s">
        <v>1306</v>
      </c>
      <c r="C112" s="39" t="s">
        <v>1307</v>
      </c>
      <c r="D112" s="39" t="s">
        <v>1308</v>
      </c>
      <c r="E112" s="39" t="s">
        <v>1307</v>
      </c>
      <c r="F112" s="39" t="s">
        <v>374</v>
      </c>
      <c r="G112" s="39" t="s">
        <v>1309</v>
      </c>
      <c r="H112" s="39" t="s">
        <v>1310</v>
      </c>
      <c r="I112" s="39"/>
      <c r="J112" s="39" t="s">
        <v>1311</v>
      </c>
      <c r="K112" s="40">
        <v>1340.0</v>
      </c>
      <c r="L112" s="39" t="s">
        <v>1312</v>
      </c>
      <c r="M112" s="39" t="s">
        <v>260</v>
      </c>
      <c r="N112" s="39" t="s">
        <v>261</v>
      </c>
      <c r="O112" s="39" t="s">
        <v>193</v>
      </c>
      <c r="P112" s="39" t="s">
        <v>194</v>
      </c>
      <c r="Q112" s="40">
        <v>10011.0</v>
      </c>
      <c r="R112" s="39" t="s">
        <v>137</v>
      </c>
      <c r="S112" s="39" t="s">
        <v>19</v>
      </c>
      <c r="T112" s="39" t="s">
        <v>236</v>
      </c>
      <c r="U112" s="39" t="s">
        <v>69</v>
      </c>
      <c r="V112" s="39" t="s">
        <v>195</v>
      </c>
      <c r="W112" s="41">
        <v>45555.0</v>
      </c>
      <c r="X112" s="40">
        <v>237.0</v>
      </c>
      <c r="Y112" s="39" t="s">
        <v>1313</v>
      </c>
      <c r="Z112" s="41">
        <v>33669.0</v>
      </c>
      <c r="AA112" s="39" t="s">
        <v>163</v>
      </c>
      <c r="AB112" s="39" t="s">
        <v>180</v>
      </c>
      <c r="AC112" s="39" t="s">
        <v>197</v>
      </c>
      <c r="AD112" s="40">
        <v>179000.0</v>
      </c>
      <c r="AE112" s="40">
        <v>179000.0</v>
      </c>
      <c r="AF112" s="39" t="s">
        <v>144</v>
      </c>
      <c r="AG112" s="39" t="s">
        <v>145</v>
      </c>
      <c r="AH112" s="39" t="s">
        <v>146</v>
      </c>
      <c r="AI112" s="42" t="s">
        <v>1314</v>
      </c>
      <c r="AJ112" s="42" t="s">
        <v>1315</v>
      </c>
    </row>
    <row r="113" ht="15.75" customHeight="1">
      <c r="A113" s="40">
        <v>112.0</v>
      </c>
      <c r="B113" s="39" t="s">
        <v>1316</v>
      </c>
      <c r="C113" s="39" t="s">
        <v>1317</v>
      </c>
      <c r="D113" s="39" t="s">
        <v>1318</v>
      </c>
      <c r="E113" s="39" t="s">
        <v>1317</v>
      </c>
      <c r="F113" s="39" t="s">
        <v>270</v>
      </c>
      <c r="G113" s="39" t="s">
        <v>1319</v>
      </c>
      <c r="H113" s="39" t="s">
        <v>1320</v>
      </c>
      <c r="I113" s="39"/>
      <c r="J113" s="39" t="s">
        <v>1321</v>
      </c>
      <c r="K113" s="40">
        <v>4131.0</v>
      </c>
      <c r="L113" s="39" t="s">
        <v>1322</v>
      </c>
      <c r="M113" s="39" t="s">
        <v>346</v>
      </c>
      <c r="N113" s="39"/>
      <c r="O113" s="39" t="s">
        <v>174</v>
      </c>
      <c r="P113" s="39" t="s">
        <v>175</v>
      </c>
      <c r="Q113" s="39" t="s">
        <v>347</v>
      </c>
      <c r="R113" s="39" t="s">
        <v>177</v>
      </c>
      <c r="S113" s="39" t="s">
        <v>19</v>
      </c>
      <c r="T113" s="39" t="s">
        <v>160</v>
      </c>
      <c r="U113" s="39" t="s">
        <v>76</v>
      </c>
      <c r="V113" s="39" t="s">
        <v>178</v>
      </c>
      <c r="W113" s="41">
        <v>44644.0</v>
      </c>
      <c r="X113" s="40">
        <v>94.0</v>
      </c>
      <c r="Y113" s="39" t="s">
        <v>1323</v>
      </c>
      <c r="Z113" s="41">
        <v>31820.0</v>
      </c>
      <c r="AA113" s="39" t="s">
        <v>141</v>
      </c>
      <c r="AB113" s="39" t="s">
        <v>142</v>
      </c>
      <c r="AC113" s="39" t="s">
        <v>197</v>
      </c>
      <c r="AD113" s="40">
        <v>153000.0</v>
      </c>
      <c r="AE113" s="40">
        <v>153000.0</v>
      </c>
      <c r="AF113" s="39" t="s">
        <v>144</v>
      </c>
      <c r="AG113" s="39" t="s">
        <v>145</v>
      </c>
      <c r="AH113" s="39" t="s">
        <v>293</v>
      </c>
      <c r="AI113" s="42" t="s">
        <v>1324</v>
      </c>
      <c r="AJ113" s="42" t="s">
        <v>1325</v>
      </c>
    </row>
    <row r="114" ht="15.75" customHeight="1">
      <c r="A114" s="40">
        <v>113.0</v>
      </c>
      <c r="B114" s="39" t="s">
        <v>1326</v>
      </c>
      <c r="C114" s="39" t="s">
        <v>1327</v>
      </c>
      <c r="D114" s="39" t="s">
        <v>1328</v>
      </c>
      <c r="E114" s="39" t="s">
        <v>1327</v>
      </c>
      <c r="F114" s="39" t="s">
        <v>231</v>
      </c>
      <c r="G114" s="39" t="s">
        <v>1329</v>
      </c>
      <c r="H114" s="39" t="s">
        <v>1330</v>
      </c>
      <c r="I114" s="39"/>
      <c r="J114" s="39" t="s">
        <v>1331</v>
      </c>
      <c r="K114" s="40">
        <v>188.0</v>
      </c>
      <c r="L114" s="39" t="s">
        <v>1332</v>
      </c>
      <c r="M114" s="39" t="s">
        <v>133</v>
      </c>
      <c r="N114" s="39" t="s">
        <v>134</v>
      </c>
      <c r="O114" s="39" t="s">
        <v>135</v>
      </c>
      <c r="P114" s="39" t="s">
        <v>136</v>
      </c>
      <c r="Q114" s="40">
        <v>94108.0</v>
      </c>
      <c r="R114" s="39" t="s">
        <v>137</v>
      </c>
      <c r="S114" s="39" t="s">
        <v>19</v>
      </c>
      <c r="T114" s="39" t="s">
        <v>138</v>
      </c>
      <c r="U114" s="39" t="s">
        <v>77</v>
      </c>
      <c r="V114" s="39" t="s">
        <v>139</v>
      </c>
      <c r="W114" s="41">
        <v>44599.0</v>
      </c>
      <c r="X114" s="40">
        <v>205.0</v>
      </c>
      <c r="Y114" s="39" t="s">
        <v>1333</v>
      </c>
      <c r="Z114" s="41">
        <v>37176.0</v>
      </c>
      <c r="AA114" s="39" t="s">
        <v>163</v>
      </c>
      <c r="AB114" s="39" t="s">
        <v>180</v>
      </c>
      <c r="AC114" s="39" t="s">
        <v>279</v>
      </c>
      <c r="AD114" s="40">
        <v>131000.0</v>
      </c>
      <c r="AE114" s="40">
        <v>131000.0</v>
      </c>
      <c r="AF114" s="39" t="s">
        <v>144</v>
      </c>
      <c r="AG114" s="39" t="s">
        <v>145</v>
      </c>
      <c r="AH114" s="39" t="s">
        <v>264</v>
      </c>
      <c r="AI114" s="42" t="s">
        <v>1334</v>
      </c>
      <c r="AJ114" s="42" t="s">
        <v>1335</v>
      </c>
    </row>
    <row r="115" ht="15.75" customHeight="1">
      <c r="A115" s="40">
        <v>114.0</v>
      </c>
      <c r="B115" s="39" t="s">
        <v>1336</v>
      </c>
      <c r="C115" s="39" t="s">
        <v>1337</v>
      </c>
      <c r="D115" s="39" t="s">
        <v>1338</v>
      </c>
      <c r="E115" s="39" t="s">
        <v>1337</v>
      </c>
      <c r="F115" s="39" t="s">
        <v>231</v>
      </c>
      <c r="G115" s="39" t="s">
        <v>1339</v>
      </c>
      <c r="H115" s="39" t="s">
        <v>1340</v>
      </c>
      <c r="I115" s="39"/>
      <c r="J115" s="39" t="s">
        <v>1341</v>
      </c>
      <c r="K115" s="40">
        <v>9805.0</v>
      </c>
      <c r="L115" s="39" t="s">
        <v>1342</v>
      </c>
      <c r="M115" s="39" t="s">
        <v>260</v>
      </c>
      <c r="N115" s="39" t="s">
        <v>261</v>
      </c>
      <c r="O115" s="39" t="s">
        <v>193</v>
      </c>
      <c r="P115" s="39" t="s">
        <v>194</v>
      </c>
      <c r="Q115" s="40">
        <v>10011.0</v>
      </c>
      <c r="R115" s="39" t="s">
        <v>137</v>
      </c>
      <c r="S115" s="39" t="s">
        <v>19</v>
      </c>
      <c r="T115" s="39" t="s">
        <v>236</v>
      </c>
      <c r="U115" s="39" t="s">
        <v>76</v>
      </c>
      <c r="V115" s="39" t="s">
        <v>195</v>
      </c>
      <c r="W115" s="41">
        <v>45635.0</v>
      </c>
      <c r="X115" s="40">
        <v>161.0</v>
      </c>
      <c r="Y115" s="39" t="s">
        <v>1343</v>
      </c>
      <c r="Z115" s="41">
        <v>34580.0</v>
      </c>
      <c r="AA115" s="39" t="s">
        <v>141</v>
      </c>
      <c r="AB115" s="39" t="s">
        <v>142</v>
      </c>
      <c r="AC115" s="39" t="s">
        <v>197</v>
      </c>
      <c r="AD115" s="40">
        <v>205000.0</v>
      </c>
      <c r="AE115" s="40">
        <v>205000.0</v>
      </c>
      <c r="AF115" s="39" t="s">
        <v>144</v>
      </c>
      <c r="AG115" s="39" t="s">
        <v>145</v>
      </c>
      <c r="AH115" s="39" t="s">
        <v>293</v>
      </c>
      <c r="AI115" s="42" t="s">
        <v>1344</v>
      </c>
      <c r="AJ115" s="42" t="s">
        <v>1345</v>
      </c>
    </row>
    <row r="116" ht="15.75" customHeight="1">
      <c r="A116" s="40">
        <v>115.0</v>
      </c>
      <c r="B116" s="39" t="s">
        <v>1346</v>
      </c>
      <c r="C116" s="39" t="s">
        <v>1347</v>
      </c>
      <c r="D116" s="39" t="s">
        <v>1348</v>
      </c>
      <c r="E116" s="39" t="s">
        <v>1347</v>
      </c>
      <c r="F116" s="39" t="s">
        <v>255</v>
      </c>
      <c r="G116" s="39" t="s">
        <v>1349</v>
      </c>
      <c r="H116" s="39" t="s">
        <v>1350</v>
      </c>
      <c r="I116" s="39"/>
      <c r="J116" s="39" t="s">
        <v>1351</v>
      </c>
      <c r="K116" s="40">
        <v>5802.0</v>
      </c>
      <c r="L116" s="39" t="s">
        <v>1352</v>
      </c>
      <c r="M116" s="39" t="s">
        <v>208</v>
      </c>
      <c r="N116" s="39" t="s">
        <v>209</v>
      </c>
      <c r="O116" s="39" t="s">
        <v>135</v>
      </c>
      <c r="P116" s="39" t="s">
        <v>136</v>
      </c>
      <c r="Q116" s="40">
        <v>94105.0</v>
      </c>
      <c r="R116" s="39" t="s">
        <v>137</v>
      </c>
      <c r="S116" s="39" t="s">
        <v>19</v>
      </c>
      <c r="T116" s="39" t="s">
        <v>160</v>
      </c>
      <c r="U116" s="39" t="s">
        <v>70</v>
      </c>
      <c r="V116" s="39" t="s">
        <v>139</v>
      </c>
      <c r="W116" s="41">
        <v>44648.0</v>
      </c>
      <c r="X116" s="40">
        <v>100.0</v>
      </c>
      <c r="Y116" s="39" t="s">
        <v>1353</v>
      </c>
      <c r="Z116" s="41">
        <v>32303.0</v>
      </c>
      <c r="AA116" s="39" t="s">
        <v>141</v>
      </c>
      <c r="AB116" s="39" t="s">
        <v>142</v>
      </c>
      <c r="AC116" s="39" t="s">
        <v>197</v>
      </c>
      <c r="AD116" s="40">
        <v>154000.0</v>
      </c>
      <c r="AE116" s="40">
        <v>154000.0</v>
      </c>
      <c r="AF116" s="39" t="s">
        <v>144</v>
      </c>
      <c r="AG116" s="39" t="s">
        <v>145</v>
      </c>
      <c r="AH116" s="39" t="s">
        <v>146</v>
      </c>
      <c r="AI116" s="42" t="s">
        <v>1354</v>
      </c>
      <c r="AJ116" s="42" t="s">
        <v>1355</v>
      </c>
    </row>
    <row r="117" ht="15.75" customHeight="1">
      <c r="A117" s="40">
        <v>116.0</v>
      </c>
      <c r="B117" s="39" t="s">
        <v>1356</v>
      </c>
      <c r="C117" s="39" t="s">
        <v>1357</v>
      </c>
      <c r="D117" s="39" t="s">
        <v>1358</v>
      </c>
      <c r="E117" s="39" t="s">
        <v>1357</v>
      </c>
      <c r="F117" s="39" t="s">
        <v>374</v>
      </c>
      <c r="G117" s="39" t="s">
        <v>1359</v>
      </c>
      <c r="H117" s="39" t="s">
        <v>1360</v>
      </c>
      <c r="I117" s="39"/>
      <c r="J117" s="39" t="s">
        <v>1361</v>
      </c>
      <c r="K117" s="40">
        <v>1064.0</v>
      </c>
      <c r="L117" s="39" t="s">
        <v>1362</v>
      </c>
      <c r="M117" s="39" t="s">
        <v>346</v>
      </c>
      <c r="N117" s="39"/>
      <c r="O117" s="39" t="s">
        <v>174</v>
      </c>
      <c r="P117" s="39" t="s">
        <v>175</v>
      </c>
      <c r="Q117" s="39" t="s">
        <v>347</v>
      </c>
      <c r="R117" s="39" t="s">
        <v>177</v>
      </c>
      <c r="S117" s="39" t="s">
        <v>19</v>
      </c>
      <c r="T117" s="39" t="s">
        <v>160</v>
      </c>
      <c r="U117" s="39" t="s">
        <v>72</v>
      </c>
      <c r="V117" s="39" t="s">
        <v>178</v>
      </c>
      <c r="W117" s="41">
        <v>45628.0</v>
      </c>
      <c r="X117" s="40">
        <v>53.0</v>
      </c>
      <c r="Y117" s="39" t="s">
        <v>1363</v>
      </c>
      <c r="Z117" s="41">
        <v>36605.0</v>
      </c>
      <c r="AA117" s="39" t="s">
        <v>163</v>
      </c>
      <c r="AB117" s="39" t="s">
        <v>142</v>
      </c>
      <c r="AC117" s="39" t="s">
        <v>292</v>
      </c>
      <c r="AD117" s="40">
        <v>118000.0</v>
      </c>
      <c r="AE117" s="40">
        <v>118000.0</v>
      </c>
      <c r="AF117" s="39" t="s">
        <v>144</v>
      </c>
      <c r="AG117" s="39" t="s">
        <v>145</v>
      </c>
      <c r="AH117" s="39" t="s">
        <v>264</v>
      </c>
      <c r="AI117" s="42" t="s">
        <v>1364</v>
      </c>
      <c r="AJ117" s="42" t="s">
        <v>1365</v>
      </c>
    </row>
    <row r="118" ht="15.75" customHeight="1">
      <c r="A118" s="40">
        <v>117.0</v>
      </c>
      <c r="B118" s="39" t="s">
        <v>1366</v>
      </c>
      <c r="C118" s="39" t="s">
        <v>1367</v>
      </c>
      <c r="D118" s="39" t="s">
        <v>1368</v>
      </c>
      <c r="E118" s="39" t="s">
        <v>1367</v>
      </c>
      <c r="F118" s="39" t="s">
        <v>374</v>
      </c>
      <c r="G118" s="39" t="s">
        <v>1369</v>
      </c>
      <c r="H118" s="39" t="s">
        <v>1370</v>
      </c>
      <c r="I118" s="39"/>
      <c r="J118" s="39" t="s">
        <v>1371</v>
      </c>
      <c r="K118" s="40">
        <v>7936.0</v>
      </c>
      <c r="L118" s="39" t="s">
        <v>1372</v>
      </c>
      <c r="M118" s="39" t="s">
        <v>247</v>
      </c>
      <c r="N118" s="39" t="s">
        <v>248</v>
      </c>
      <c r="O118" s="39" t="s">
        <v>135</v>
      </c>
      <c r="P118" s="39" t="s">
        <v>136</v>
      </c>
      <c r="Q118" s="40">
        <v>94103.0</v>
      </c>
      <c r="R118" s="39" t="s">
        <v>137</v>
      </c>
      <c r="S118" s="39" t="s">
        <v>18</v>
      </c>
      <c r="T118" s="39" t="s">
        <v>593</v>
      </c>
      <c r="U118" s="39" t="s">
        <v>61</v>
      </c>
      <c r="V118" s="39" t="s">
        <v>139</v>
      </c>
      <c r="W118" s="41">
        <v>45537.0</v>
      </c>
      <c r="X118" s="40">
        <v>41.0</v>
      </c>
      <c r="Y118" s="39" t="s">
        <v>1373</v>
      </c>
      <c r="Z118" s="41">
        <v>32768.0</v>
      </c>
      <c r="AA118" s="39" t="s">
        <v>263</v>
      </c>
      <c r="AB118" s="39" t="s">
        <v>180</v>
      </c>
      <c r="AC118" s="39" t="s">
        <v>292</v>
      </c>
      <c r="AD118" s="40">
        <v>114000.0</v>
      </c>
      <c r="AE118" s="40">
        <v>114000.0</v>
      </c>
      <c r="AF118" s="39" t="s">
        <v>144</v>
      </c>
      <c r="AG118" s="39" t="s">
        <v>145</v>
      </c>
      <c r="AH118" s="39" t="s">
        <v>293</v>
      </c>
      <c r="AI118" s="42" t="s">
        <v>1374</v>
      </c>
      <c r="AJ118" s="42" t="s">
        <v>1375</v>
      </c>
    </row>
    <row r="119" ht="15.75" customHeight="1">
      <c r="A119" s="40">
        <v>118.0</v>
      </c>
      <c r="B119" s="39" t="s">
        <v>1376</v>
      </c>
      <c r="C119" s="39" t="s">
        <v>1377</v>
      </c>
      <c r="D119" s="39" t="s">
        <v>1378</v>
      </c>
      <c r="E119" s="39" t="s">
        <v>1377</v>
      </c>
      <c r="F119" s="39" t="s">
        <v>270</v>
      </c>
      <c r="G119" s="39" t="s">
        <v>1379</v>
      </c>
      <c r="H119" s="39" t="s">
        <v>1380</v>
      </c>
      <c r="I119" s="39"/>
      <c r="J119" s="39" t="s">
        <v>1381</v>
      </c>
      <c r="K119" s="40">
        <v>6235.0</v>
      </c>
      <c r="L119" s="39" t="s">
        <v>1382</v>
      </c>
      <c r="M119" s="39" t="s">
        <v>133</v>
      </c>
      <c r="N119" s="39" t="s">
        <v>134</v>
      </c>
      <c r="O119" s="39" t="s">
        <v>135</v>
      </c>
      <c r="P119" s="39" t="s">
        <v>136</v>
      </c>
      <c r="Q119" s="40">
        <v>94108.0</v>
      </c>
      <c r="R119" s="39" t="s">
        <v>137</v>
      </c>
      <c r="S119" s="39" t="s">
        <v>18</v>
      </c>
      <c r="T119" s="39" t="s">
        <v>593</v>
      </c>
      <c r="U119" s="39" t="s">
        <v>64</v>
      </c>
      <c r="V119" s="39" t="s">
        <v>139</v>
      </c>
      <c r="W119" s="41">
        <v>45482.0</v>
      </c>
      <c r="X119" s="40">
        <v>68.0</v>
      </c>
      <c r="Y119" s="39" t="s">
        <v>1383</v>
      </c>
      <c r="Z119" s="41">
        <v>30046.0</v>
      </c>
      <c r="AA119" s="39" t="s">
        <v>163</v>
      </c>
      <c r="AB119" s="39" t="s">
        <v>142</v>
      </c>
      <c r="AC119" s="39" t="s">
        <v>181</v>
      </c>
      <c r="AD119" s="40">
        <v>148000.0</v>
      </c>
      <c r="AE119" s="40">
        <v>148000.0</v>
      </c>
      <c r="AF119" s="39" t="s">
        <v>144</v>
      </c>
      <c r="AG119" s="39" t="s">
        <v>145</v>
      </c>
      <c r="AH119" s="39" t="s">
        <v>293</v>
      </c>
      <c r="AI119" s="42" t="s">
        <v>1384</v>
      </c>
      <c r="AJ119" s="42" t="s">
        <v>1385</v>
      </c>
    </row>
    <row r="120" ht="15.75" customHeight="1">
      <c r="A120" s="40">
        <v>119.0</v>
      </c>
      <c r="B120" s="39" t="s">
        <v>1386</v>
      </c>
      <c r="C120" s="39" t="s">
        <v>1387</v>
      </c>
      <c r="D120" s="39" t="s">
        <v>1388</v>
      </c>
      <c r="E120" s="39" t="s">
        <v>1387</v>
      </c>
      <c r="F120" s="39" t="s">
        <v>203</v>
      </c>
      <c r="G120" s="39" t="s">
        <v>1389</v>
      </c>
      <c r="H120" s="39" t="s">
        <v>1390</v>
      </c>
      <c r="I120" s="39"/>
      <c r="J120" s="39" t="s">
        <v>1391</v>
      </c>
      <c r="K120" s="40">
        <v>7451.0</v>
      </c>
      <c r="L120" s="39" t="s">
        <v>1392</v>
      </c>
      <c r="M120" s="39" t="s">
        <v>222</v>
      </c>
      <c r="N120" s="39" t="s">
        <v>223</v>
      </c>
      <c r="O120" s="39" t="s">
        <v>135</v>
      </c>
      <c r="P120" s="39" t="s">
        <v>136</v>
      </c>
      <c r="Q120" s="40">
        <v>94104.0</v>
      </c>
      <c r="R120" s="39" t="s">
        <v>137</v>
      </c>
      <c r="S120" s="39" t="s">
        <v>17</v>
      </c>
      <c r="T120" s="39" t="s">
        <v>17</v>
      </c>
      <c r="U120" s="39" t="s">
        <v>46</v>
      </c>
      <c r="V120" s="39" t="s">
        <v>139</v>
      </c>
      <c r="W120" s="41">
        <v>45631.0</v>
      </c>
      <c r="X120" s="40">
        <v>120.0</v>
      </c>
      <c r="Y120" s="39" t="s">
        <v>1393</v>
      </c>
      <c r="Z120" s="41">
        <v>33232.0</v>
      </c>
      <c r="AA120" s="39" t="s">
        <v>141</v>
      </c>
      <c r="AB120" s="39" t="s">
        <v>180</v>
      </c>
      <c r="AC120" s="39" t="s">
        <v>279</v>
      </c>
      <c r="AD120" s="40">
        <v>115000.0</v>
      </c>
      <c r="AE120" s="40">
        <v>115000.0</v>
      </c>
      <c r="AF120" s="39" t="s">
        <v>144</v>
      </c>
      <c r="AG120" s="39" t="s">
        <v>145</v>
      </c>
      <c r="AH120" s="39" t="s">
        <v>146</v>
      </c>
      <c r="AI120" s="42" t="s">
        <v>1394</v>
      </c>
      <c r="AJ120" s="42" t="s">
        <v>1395</v>
      </c>
    </row>
    <row r="121" ht="15.75" customHeight="1">
      <c r="A121" s="40">
        <v>120.0</v>
      </c>
      <c r="B121" s="39" t="s">
        <v>1396</v>
      </c>
      <c r="C121" s="39" t="s">
        <v>1397</v>
      </c>
      <c r="D121" s="39" t="s">
        <v>1398</v>
      </c>
      <c r="E121" s="39" t="s">
        <v>1397</v>
      </c>
      <c r="F121" s="39" t="s">
        <v>186</v>
      </c>
      <c r="G121" s="39" t="s">
        <v>1399</v>
      </c>
      <c r="H121" s="39" t="s">
        <v>1400</v>
      </c>
      <c r="I121" s="39"/>
      <c r="J121" s="39" t="s">
        <v>1401</v>
      </c>
      <c r="K121" s="40">
        <v>6854.0</v>
      </c>
      <c r="L121" s="39" t="s">
        <v>1402</v>
      </c>
      <c r="M121" s="39" t="s">
        <v>260</v>
      </c>
      <c r="N121" s="39" t="s">
        <v>261</v>
      </c>
      <c r="O121" s="39" t="s">
        <v>193</v>
      </c>
      <c r="P121" s="39" t="s">
        <v>194</v>
      </c>
      <c r="Q121" s="40">
        <v>10011.0</v>
      </c>
      <c r="R121" s="39" t="s">
        <v>137</v>
      </c>
      <c r="S121" s="39" t="s">
        <v>17</v>
      </c>
      <c r="T121" s="39" t="s">
        <v>17</v>
      </c>
      <c r="U121" s="39" t="s">
        <v>48</v>
      </c>
      <c r="V121" s="39" t="s">
        <v>195</v>
      </c>
      <c r="W121" s="41">
        <v>44939.0</v>
      </c>
      <c r="X121" s="40">
        <v>240.0</v>
      </c>
      <c r="Y121" s="39" t="s">
        <v>1403</v>
      </c>
      <c r="Z121" s="41">
        <v>32823.0</v>
      </c>
      <c r="AA121" s="39" t="s">
        <v>141</v>
      </c>
      <c r="AB121" s="39" t="s">
        <v>180</v>
      </c>
      <c r="AC121" s="39" t="s">
        <v>279</v>
      </c>
      <c r="AD121" s="40">
        <v>205000.0</v>
      </c>
      <c r="AE121" s="40">
        <v>205000.0</v>
      </c>
      <c r="AF121" s="39" t="s">
        <v>144</v>
      </c>
      <c r="AG121" s="39" t="s">
        <v>145</v>
      </c>
      <c r="AH121" s="39" t="s">
        <v>264</v>
      </c>
      <c r="AI121" s="42" t="s">
        <v>1404</v>
      </c>
      <c r="AJ121" s="42" t="s">
        <v>1405</v>
      </c>
    </row>
    <row r="122" ht="15.75" customHeight="1">
      <c r="A122" s="40">
        <v>121.0</v>
      </c>
      <c r="B122" s="39" t="s">
        <v>1406</v>
      </c>
      <c r="C122" s="39" t="s">
        <v>1407</v>
      </c>
      <c r="D122" s="39" t="s">
        <v>1408</v>
      </c>
      <c r="E122" s="39" t="s">
        <v>1407</v>
      </c>
      <c r="F122" s="39" t="s">
        <v>231</v>
      </c>
      <c r="G122" s="39" t="s">
        <v>1409</v>
      </c>
      <c r="H122" s="39" t="s">
        <v>1410</v>
      </c>
      <c r="I122" s="39"/>
      <c r="J122" s="39" t="s">
        <v>1411</v>
      </c>
      <c r="K122" s="40">
        <v>3868.0</v>
      </c>
      <c r="L122" s="39" t="s">
        <v>1412</v>
      </c>
      <c r="M122" s="39" t="s">
        <v>752</v>
      </c>
      <c r="N122" s="39" t="s">
        <v>753</v>
      </c>
      <c r="O122" s="39" t="s">
        <v>754</v>
      </c>
      <c r="P122" s="39" t="s">
        <v>194</v>
      </c>
      <c r="Q122" s="40">
        <v>11249.0</v>
      </c>
      <c r="R122" s="39" t="s">
        <v>137</v>
      </c>
      <c r="S122" s="39" t="s">
        <v>16</v>
      </c>
      <c r="T122" s="39" t="s">
        <v>16</v>
      </c>
      <c r="U122" s="39" t="s">
        <v>83</v>
      </c>
      <c r="V122" s="39" t="s">
        <v>161</v>
      </c>
      <c r="W122" s="41">
        <v>45012.0</v>
      </c>
      <c r="X122" s="40">
        <v>187.0</v>
      </c>
      <c r="Y122" s="39" t="s">
        <v>1413</v>
      </c>
      <c r="Z122" s="41">
        <v>35130.0</v>
      </c>
      <c r="AA122" s="39" t="s">
        <v>141</v>
      </c>
      <c r="AB122" s="39" t="s">
        <v>180</v>
      </c>
      <c r="AC122" s="39" t="s">
        <v>197</v>
      </c>
      <c r="AD122" s="40">
        <v>198000.0</v>
      </c>
      <c r="AE122" s="40">
        <v>198000.0</v>
      </c>
      <c r="AF122" s="39" t="s">
        <v>144</v>
      </c>
      <c r="AG122" s="39" t="s">
        <v>145</v>
      </c>
      <c r="AH122" s="39" t="s">
        <v>293</v>
      </c>
      <c r="AI122" s="42" t="s">
        <v>1414</v>
      </c>
      <c r="AJ122" s="42" t="s">
        <v>1415</v>
      </c>
    </row>
    <row r="123" ht="15.75" customHeight="1">
      <c r="A123" s="40">
        <v>122.0</v>
      </c>
      <c r="B123" s="39" t="s">
        <v>1416</v>
      </c>
      <c r="C123" s="39" t="s">
        <v>959</v>
      </c>
      <c r="D123" s="39" t="s">
        <v>1417</v>
      </c>
      <c r="E123" s="39" t="s">
        <v>959</v>
      </c>
      <c r="F123" s="39" t="s">
        <v>427</v>
      </c>
      <c r="G123" s="39" t="s">
        <v>1418</v>
      </c>
      <c r="H123" s="39" t="s">
        <v>1419</v>
      </c>
      <c r="I123" s="39"/>
      <c r="J123" s="39" t="s">
        <v>1420</v>
      </c>
      <c r="K123" s="40">
        <v>3155.0</v>
      </c>
      <c r="L123" s="39" t="s">
        <v>1421</v>
      </c>
      <c r="M123" s="39" t="s">
        <v>208</v>
      </c>
      <c r="N123" s="39" t="s">
        <v>209</v>
      </c>
      <c r="O123" s="39" t="s">
        <v>135</v>
      </c>
      <c r="P123" s="39" t="s">
        <v>136</v>
      </c>
      <c r="Q123" s="40">
        <v>94105.0</v>
      </c>
      <c r="R123" s="39" t="s">
        <v>137</v>
      </c>
      <c r="S123" s="39" t="s">
        <v>16</v>
      </c>
      <c r="T123" s="39" t="s">
        <v>16</v>
      </c>
      <c r="U123" s="39" t="s">
        <v>80</v>
      </c>
      <c r="V123" s="39" t="s">
        <v>139</v>
      </c>
      <c r="W123" s="41">
        <v>45461.0</v>
      </c>
      <c r="X123" s="40">
        <v>158.0</v>
      </c>
      <c r="Y123" s="39" t="s">
        <v>1422</v>
      </c>
      <c r="Z123" s="41">
        <v>37530.0</v>
      </c>
      <c r="AA123" s="39" t="s">
        <v>163</v>
      </c>
      <c r="AB123" s="39" t="s">
        <v>225</v>
      </c>
      <c r="AC123" s="39" t="s">
        <v>197</v>
      </c>
      <c r="AD123" s="40">
        <v>136000.0</v>
      </c>
      <c r="AE123" s="40">
        <v>136000.0</v>
      </c>
      <c r="AF123" s="39" t="s">
        <v>144</v>
      </c>
      <c r="AG123" s="39" t="s">
        <v>145</v>
      </c>
      <c r="AH123" s="39" t="s">
        <v>264</v>
      </c>
      <c r="AI123" s="42" t="s">
        <v>1423</v>
      </c>
      <c r="AJ123" s="42" t="s">
        <v>1424</v>
      </c>
    </row>
    <row r="124" ht="15.75" customHeight="1">
      <c r="A124" s="40">
        <v>123.0</v>
      </c>
      <c r="B124" s="39" t="s">
        <v>1425</v>
      </c>
      <c r="C124" s="39" t="s">
        <v>1426</v>
      </c>
      <c r="D124" s="39" t="s">
        <v>1427</v>
      </c>
      <c r="E124" s="39" t="s">
        <v>1426</v>
      </c>
      <c r="F124" s="39" t="s">
        <v>255</v>
      </c>
      <c r="G124" s="39" t="s">
        <v>1428</v>
      </c>
      <c r="H124" s="39" t="s">
        <v>1429</v>
      </c>
      <c r="I124" s="39"/>
      <c r="J124" s="39" t="s">
        <v>1430</v>
      </c>
      <c r="K124" s="40">
        <v>5784.0</v>
      </c>
      <c r="L124" s="39" t="s">
        <v>1431</v>
      </c>
      <c r="M124" s="39" t="s">
        <v>815</v>
      </c>
      <c r="N124" s="39" t="s">
        <v>816</v>
      </c>
      <c r="O124" s="39" t="s">
        <v>817</v>
      </c>
      <c r="P124" s="39" t="s">
        <v>818</v>
      </c>
      <c r="Q124" s="40">
        <v>60606.0</v>
      </c>
      <c r="R124" s="39" t="s">
        <v>137</v>
      </c>
      <c r="S124" s="39" t="s">
        <v>16</v>
      </c>
      <c r="T124" s="39" t="s">
        <v>16</v>
      </c>
      <c r="U124" s="39" t="s">
        <v>80</v>
      </c>
      <c r="V124" s="39" t="s">
        <v>161</v>
      </c>
      <c r="W124" s="41">
        <v>45580.0</v>
      </c>
      <c r="X124" s="40">
        <v>159.0</v>
      </c>
      <c r="Y124" s="39" t="s">
        <v>1432</v>
      </c>
      <c r="Z124" s="41">
        <v>33059.0</v>
      </c>
      <c r="AA124" s="39" t="s">
        <v>163</v>
      </c>
      <c r="AB124" s="39" t="s">
        <v>142</v>
      </c>
      <c r="AC124" s="39" t="s">
        <v>211</v>
      </c>
      <c r="AD124" s="40">
        <v>119000.0</v>
      </c>
      <c r="AE124" s="40">
        <v>119000.0</v>
      </c>
      <c r="AF124" s="39" t="s">
        <v>144</v>
      </c>
      <c r="AG124" s="39" t="s">
        <v>145</v>
      </c>
      <c r="AH124" s="39" t="s">
        <v>146</v>
      </c>
      <c r="AI124" s="42" t="s">
        <v>1433</v>
      </c>
      <c r="AJ124" s="42" t="s">
        <v>1434</v>
      </c>
    </row>
    <row r="125" ht="15.75" customHeight="1">
      <c r="A125" s="40">
        <v>124.0</v>
      </c>
      <c r="B125" s="39" t="s">
        <v>1435</v>
      </c>
      <c r="C125" s="39" t="s">
        <v>1436</v>
      </c>
      <c r="D125" s="39" t="s">
        <v>1437</v>
      </c>
      <c r="E125" s="39" t="s">
        <v>1436</v>
      </c>
      <c r="F125" s="39" t="s">
        <v>270</v>
      </c>
      <c r="G125" s="39" t="s">
        <v>1438</v>
      </c>
      <c r="H125" s="39" t="s">
        <v>1439</v>
      </c>
      <c r="I125" s="39"/>
      <c r="J125" s="39" t="s">
        <v>1440</v>
      </c>
      <c r="K125" s="40">
        <v>9823.0</v>
      </c>
      <c r="L125" s="39" t="s">
        <v>1441</v>
      </c>
      <c r="M125" s="39" t="s">
        <v>173</v>
      </c>
      <c r="N125" s="39"/>
      <c r="O125" s="39" t="s">
        <v>174</v>
      </c>
      <c r="P125" s="39" t="s">
        <v>175</v>
      </c>
      <c r="Q125" s="39" t="s">
        <v>176</v>
      </c>
      <c r="R125" s="39" t="s">
        <v>177</v>
      </c>
      <c r="S125" s="39" t="s">
        <v>19</v>
      </c>
      <c r="T125" s="39" t="s">
        <v>236</v>
      </c>
      <c r="U125" s="39" t="s">
        <v>75</v>
      </c>
      <c r="V125" s="39" t="s">
        <v>178</v>
      </c>
      <c r="W125" s="41">
        <v>45959.0</v>
      </c>
      <c r="X125" s="40">
        <v>225.0</v>
      </c>
      <c r="Y125" s="39" t="s">
        <v>1442</v>
      </c>
      <c r="Z125" s="41">
        <v>31391.0</v>
      </c>
      <c r="AA125" s="39" t="s">
        <v>141</v>
      </c>
      <c r="AB125" s="39" t="s">
        <v>180</v>
      </c>
      <c r="AC125" s="39" t="s">
        <v>211</v>
      </c>
      <c r="AD125" s="40">
        <v>209000.0</v>
      </c>
      <c r="AE125" s="40">
        <v>209000.0</v>
      </c>
      <c r="AF125" s="39" t="s">
        <v>144</v>
      </c>
      <c r="AG125" s="39" t="s">
        <v>145</v>
      </c>
      <c r="AH125" s="39" t="s">
        <v>146</v>
      </c>
      <c r="AI125" s="42" t="s">
        <v>1443</v>
      </c>
      <c r="AJ125" s="42" t="s">
        <v>1444</v>
      </c>
    </row>
    <row r="126" ht="15.75" customHeight="1">
      <c r="A126" s="40">
        <v>125.0</v>
      </c>
      <c r="B126" s="39" t="s">
        <v>1445</v>
      </c>
      <c r="C126" s="39" t="s">
        <v>1446</v>
      </c>
      <c r="D126" s="39" t="s">
        <v>1447</v>
      </c>
      <c r="E126" s="39" t="s">
        <v>1446</v>
      </c>
      <c r="F126" s="39" t="s">
        <v>128</v>
      </c>
      <c r="G126" s="39" t="s">
        <v>1448</v>
      </c>
      <c r="H126" s="39" t="s">
        <v>1449</v>
      </c>
      <c r="I126" s="39"/>
      <c r="J126" s="39" t="s">
        <v>1450</v>
      </c>
      <c r="K126" s="40">
        <v>1302.0</v>
      </c>
      <c r="L126" s="39" t="s">
        <v>1451</v>
      </c>
      <c r="M126" s="39" t="s">
        <v>133</v>
      </c>
      <c r="N126" s="39" t="s">
        <v>134</v>
      </c>
      <c r="O126" s="39" t="s">
        <v>135</v>
      </c>
      <c r="P126" s="39" t="s">
        <v>136</v>
      </c>
      <c r="Q126" s="40">
        <v>94108.0</v>
      </c>
      <c r="R126" s="39" t="s">
        <v>137</v>
      </c>
      <c r="S126" s="39" t="s">
        <v>19</v>
      </c>
      <c r="T126" s="39" t="s">
        <v>138</v>
      </c>
      <c r="U126" s="39" t="s">
        <v>77</v>
      </c>
      <c r="V126" s="39" t="s">
        <v>139</v>
      </c>
      <c r="W126" s="41">
        <v>45088.0</v>
      </c>
      <c r="X126" s="40">
        <v>206.0</v>
      </c>
      <c r="Y126" s="39" t="s">
        <v>1452</v>
      </c>
      <c r="Z126" s="41">
        <v>33337.0</v>
      </c>
      <c r="AA126" s="39" t="s">
        <v>163</v>
      </c>
      <c r="AB126" s="39" t="s">
        <v>142</v>
      </c>
      <c r="AC126" s="39" t="s">
        <v>292</v>
      </c>
      <c r="AD126" s="40">
        <v>163000.0</v>
      </c>
      <c r="AE126" s="40">
        <v>163000.0</v>
      </c>
      <c r="AF126" s="39" t="s">
        <v>144</v>
      </c>
      <c r="AG126" s="39" t="s">
        <v>145</v>
      </c>
      <c r="AH126" s="39" t="s">
        <v>146</v>
      </c>
      <c r="AI126" s="42" t="s">
        <v>1453</v>
      </c>
      <c r="AJ126" s="42" t="s">
        <v>1454</v>
      </c>
    </row>
    <row r="127" ht="15.75" customHeight="1">
      <c r="A127" s="40">
        <v>126.0</v>
      </c>
      <c r="B127" s="39" t="s">
        <v>1455</v>
      </c>
      <c r="C127" s="39" t="s">
        <v>1456</v>
      </c>
      <c r="D127" s="39" t="s">
        <v>1457</v>
      </c>
      <c r="E127" s="39" t="s">
        <v>1456</v>
      </c>
      <c r="F127" s="39" t="s">
        <v>203</v>
      </c>
      <c r="G127" s="39" t="s">
        <v>1458</v>
      </c>
      <c r="H127" s="39" t="s">
        <v>1459</v>
      </c>
      <c r="I127" s="39"/>
      <c r="J127" s="39" t="s">
        <v>1460</v>
      </c>
      <c r="K127" s="40">
        <v>7824.0</v>
      </c>
      <c r="L127" s="39" t="s">
        <v>1461</v>
      </c>
      <c r="M127" s="39" t="s">
        <v>208</v>
      </c>
      <c r="N127" s="39" t="s">
        <v>209</v>
      </c>
      <c r="O127" s="39" t="s">
        <v>135</v>
      </c>
      <c r="P127" s="39" t="s">
        <v>136</v>
      </c>
      <c r="Q127" s="40">
        <v>94105.0</v>
      </c>
      <c r="R127" s="39" t="s">
        <v>137</v>
      </c>
      <c r="S127" s="39" t="s">
        <v>19</v>
      </c>
      <c r="T127" s="39" t="s">
        <v>236</v>
      </c>
      <c r="U127" s="39" t="s">
        <v>71</v>
      </c>
      <c r="V127" s="39" t="s">
        <v>139</v>
      </c>
      <c r="W127" s="41">
        <v>45115.0</v>
      </c>
      <c r="X127" s="40">
        <v>130.0</v>
      </c>
      <c r="Y127" s="39" t="s">
        <v>1462</v>
      </c>
      <c r="Z127" s="41">
        <v>36571.0</v>
      </c>
      <c r="AA127" s="39" t="s">
        <v>263</v>
      </c>
      <c r="AB127" s="39" t="s">
        <v>142</v>
      </c>
      <c r="AC127" s="39" t="s">
        <v>181</v>
      </c>
      <c r="AD127" s="40">
        <v>167000.0</v>
      </c>
      <c r="AE127" s="40">
        <v>167000.0</v>
      </c>
      <c r="AF127" s="39" t="s">
        <v>144</v>
      </c>
      <c r="AG127" s="39" t="s">
        <v>145</v>
      </c>
      <c r="AH127" s="39" t="s">
        <v>293</v>
      </c>
      <c r="AI127" s="42" t="s">
        <v>1463</v>
      </c>
      <c r="AJ127" s="42" t="s">
        <v>1464</v>
      </c>
    </row>
    <row r="128" ht="15.75" customHeight="1">
      <c r="A128" s="40">
        <v>127.0</v>
      </c>
      <c r="B128" s="39" t="s">
        <v>1465</v>
      </c>
      <c r="C128" s="39" t="s">
        <v>1466</v>
      </c>
      <c r="D128" s="39" t="s">
        <v>1467</v>
      </c>
      <c r="E128" s="39" t="s">
        <v>1466</v>
      </c>
      <c r="F128" s="39" t="s">
        <v>255</v>
      </c>
      <c r="G128" s="39" t="s">
        <v>1468</v>
      </c>
      <c r="H128" s="39" t="s">
        <v>1469</v>
      </c>
      <c r="I128" s="39"/>
      <c r="J128" s="39" t="s">
        <v>1470</v>
      </c>
      <c r="K128" s="40">
        <v>8179.0</v>
      </c>
      <c r="L128" s="39" t="s">
        <v>1471</v>
      </c>
      <c r="M128" s="39" t="s">
        <v>314</v>
      </c>
      <c r="N128" s="39" t="s">
        <v>315</v>
      </c>
      <c r="O128" s="39" t="s">
        <v>193</v>
      </c>
      <c r="P128" s="39" t="s">
        <v>194</v>
      </c>
      <c r="Q128" s="40">
        <v>10007.0</v>
      </c>
      <c r="R128" s="39" t="s">
        <v>137</v>
      </c>
      <c r="S128" s="39" t="s">
        <v>19</v>
      </c>
      <c r="T128" s="39" t="s">
        <v>160</v>
      </c>
      <c r="U128" s="39" t="s">
        <v>73</v>
      </c>
      <c r="V128" s="39" t="s">
        <v>195</v>
      </c>
      <c r="W128" s="41">
        <v>45884.0</v>
      </c>
      <c r="X128" s="40">
        <v>54.0</v>
      </c>
      <c r="Y128" s="39" t="s">
        <v>1472</v>
      </c>
      <c r="Z128" s="41">
        <v>35295.0</v>
      </c>
      <c r="AA128" s="39" t="s">
        <v>141</v>
      </c>
      <c r="AB128" s="39" t="s">
        <v>225</v>
      </c>
      <c r="AC128" s="39" t="s">
        <v>181</v>
      </c>
      <c r="AD128" s="40">
        <v>149000.0</v>
      </c>
      <c r="AE128" s="40">
        <v>149000.0</v>
      </c>
      <c r="AF128" s="39" t="s">
        <v>144</v>
      </c>
      <c r="AG128" s="39" t="s">
        <v>145</v>
      </c>
      <c r="AH128" s="39" t="s">
        <v>293</v>
      </c>
      <c r="AI128" s="42" t="s">
        <v>1473</v>
      </c>
      <c r="AJ128" s="42" t="s">
        <v>1474</v>
      </c>
    </row>
    <row r="129" ht="15.75" customHeight="1">
      <c r="A129" s="40">
        <v>128.0</v>
      </c>
      <c r="B129" s="39" t="s">
        <v>1475</v>
      </c>
      <c r="C129" s="39" t="s">
        <v>1476</v>
      </c>
      <c r="D129" s="39" t="s">
        <v>1477</v>
      </c>
      <c r="E129" s="39" t="s">
        <v>1476</v>
      </c>
      <c r="F129" s="39" t="s">
        <v>186</v>
      </c>
      <c r="G129" s="39" t="s">
        <v>1478</v>
      </c>
      <c r="H129" s="39" t="s">
        <v>1479</v>
      </c>
      <c r="I129" s="39"/>
      <c r="J129" s="39" t="s">
        <v>1480</v>
      </c>
      <c r="K129" s="40">
        <v>252.0</v>
      </c>
      <c r="L129" s="39" t="s">
        <v>1481</v>
      </c>
      <c r="M129" s="39" t="s">
        <v>247</v>
      </c>
      <c r="N129" s="39" t="s">
        <v>248</v>
      </c>
      <c r="O129" s="39" t="s">
        <v>135</v>
      </c>
      <c r="P129" s="39" t="s">
        <v>136</v>
      </c>
      <c r="Q129" s="40">
        <v>94103.0</v>
      </c>
      <c r="R129" s="39" t="s">
        <v>137</v>
      </c>
      <c r="S129" s="39" t="s">
        <v>19</v>
      </c>
      <c r="T129" s="39" t="s">
        <v>160</v>
      </c>
      <c r="U129" s="39" t="s">
        <v>77</v>
      </c>
      <c r="V129" s="39" t="s">
        <v>139</v>
      </c>
      <c r="W129" s="41">
        <v>45969.0</v>
      </c>
      <c r="X129" s="40">
        <v>56.0</v>
      </c>
      <c r="Y129" s="39" t="s">
        <v>1482</v>
      </c>
      <c r="Z129" s="41">
        <v>32952.0</v>
      </c>
      <c r="AA129" s="39" t="s">
        <v>163</v>
      </c>
      <c r="AB129" s="39" t="s">
        <v>180</v>
      </c>
      <c r="AC129" s="39" t="s">
        <v>181</v>
      </c>
      <c r="AD129" s="40">
        <v>101000.0</v>
      </c>
      <c r="AE129" s="40">
        <v>101000.0</v>
      </c>
      <c r="AF129" s="39" t="s">
        <v>144</v>
      </c>
      <c r="AG129" s="39" t="s">
        <v>145</v>
      </c>
      <c r="AH129" s="39" t="s">
        <v>146</v>
      </c>
      <c r="AI129" s="42" t="s">
        <v>1483</v>
      </c>
      <c r="AJ129" s="42" t="s">
        <v>1484</v>
      </c>
    </row>
    <row r="130" ht="15.75" customHeight="1">
      <c r="A130" s="40">
        <v>129.0</v>
      </c>
      <c r="B130" s="39" t="s">
        <v>1485</v>
      </c>
      <c r="C130" s="39" t="s">
        <v>1486</v>
      </c>
      <c r="D130" s="39" t="s">
        <v>1487</v>
      </c>
      <c r="E130" s="39" t="s">
        <v>1486</v>
      </c>
      <c r="F130" s="39" t="s">
        <v>231</v>
      </c>
      <c r="G130" s="39" t="s">
        <v>1488</v>
      </c>
      <c r="H130" s="39" t="s">
        <v>1489</v>
      </c>
      <c r="I130" s="39"/>
      <c r="J130" s="39" t="s">
        <v>1490</v>
      </c>
      <c r="K130" s="40">
        <v>3036.0</v>
      </c>
      <c r="L130" s="39" t="s">
        <v>1491</v>
      </c>
      <c r="M130" s="39" t="s">
        <v>379</v>
      </c>
      <c r="N130" s="39" t="s">
        <v>380</v>
      </c>
      <c r="O130" s="39" t="s">
        <v>193</v>
      </c>
      <c r="P130" s="39" t="s">
        <v>194</v>
      </c>
      <c r="Q130" s="40">
        <v>10036.0</v>
      </c>
      <c r="R130" s="39" t="s">
        <v>137</v>
      </c>
      <c r="S130" s="39" t="s">
        <v>19</v>
      </c>
      <c r="T130" s="39" t="s">
        <v>160</v>
      </c>
      <c r="U130" s="39" t="s">
        <v>77</v>
      </c>
      <c r="V130" s="39" t="s">
        <v>195</v>
      </c>
      <c r="W130" s="41">
        <v>45774.0</v>
      </c>
      <c r="X130" s="40">
        <v>76.0</v>
      </c>
      <c r="Y130" s="39" t="s">
        <v>1492</v>
      </c>
      <c r="Z130" s="41">
        <v>33543.0</v>
      </c>
      <c r="AA130" s="39" t="s">
        <v>141</v>
      </c>
      <c r="AB130" s="39" t="s">
        <v>142</v>
      </c>
      <c r="AC130" s="39" t="s">
        <v>279</v>
      </c>
      <c r="AD130" s="40">
        <v>133000.0</v>
      </c>
      <c r="AE130" s="40">
        <v>133000.0</v>
      </c>
      <c r="AF130" s="39" t="s">
        <v>144</v>
      </c>
      <c r="AG130" s="39" t="s">
        <v>145</v>
      </c>
      <c r="AH130" s="39" t="s">
        <v>146</v>
      </c>
      <c r="AI130" s="42" t="s">
        <v>1493</v>
      </c>
      <c r="AJ130" s="42" t="s">
        <v>1494</v>
      </c>
    </row>
    <row r="131" ht="15.75" customHeight="1">
      <c r="A131" s="40">
        <v>130.0</v>
      </c>
      <c r="B131" s="39" t="s">
        <v>1495</v>
      </c>
      <c r="C131" s="39" t="s">
        <v>1496</v>
      </c>
      <c r="D131" s="39" t="s">
        <v>1497</v>
      </c>
      <c r="E131" s="39" t="s">
        <v>1496</v>
      </c>
      <c r="F131" s="39" t="s">
        <v>270</v>
      </c>
      <c r="G131" s="39" t="s">
        <v>1498</v>
      </c>
      <c r="H131" s="39" t="s">
        <v>1499</v>
      </c>
      <c r="I131" s="39"/>
      <c r="J131" s="39" t="s">
        <v>1500</v>
      </c>
      <c r="K131" s="40">
        <v>3714.0</v>
      </c>
      <c r="L131" s="39" t="s">
        <v>1501</v>
      </c>
      <c r="M131" s="39" t="s">
        <v>903</v>
      </c>
      <c r="N131" s="39"/>
      <c r="O131" s="39" t="s">
        <v>174</v>
      </c>
      <c r="P131" s="39" t="s">
        <v>175</v>
      </c>
      <c r="Q131" s="39" t="s">
        <v>904</v>
      </c>
      <c r="R131" s="39" t="s">
        <v>177</v>
      </c>
      <c r="S131" s="39" t="s">
        <v>19</v>
      </c>
      <c r="T131" s="39" t="s">
        <v>236</v>
      </c>
      <c r="U131" s="39" t="s">
        <v>74</v>
      </c>
      <c r="V131" s="39" t="s">
        <v>178</v>
      </c>
      <c r="W131" s="41">
        <v>45262.0</v>
      </c>
      <c r="X131" s="40">
        <v>237.0</v>
      </c>
      <c r="Y131" s="39" t="s">
        <v>1502</v>
      </c>
      <c r="Z131" s="41">
        <v>30766.0</v>
      </c>
      <c r="AA131" s="39" t="s">
        <v>141</v>
      </c>
      <c r="AB131" s="39" t="s">
        <v>180</v>
      </c>
      <c r="AC131" s="39" t="s">
        <v>181</v>
      </c>
      <c r="AD131" s="40">
        <v>146000.0</v>
      </c>
      <c r="AE131" s="40">
        <v>146000.0</v>
      </c>
      <c r="AF131" s="39" t="s">
        <v>144</v>
      </c>
      <c r="AG131" s="39" t="s">
        <v>145</v>
      </c>
      <c r="AH131" s="39" t="s">
        <v>146</v>
      </c>
      <c r="AI131" s="42" t="s">
        <v>1503</v>
      </c>
      <c r="AJ131" s="42" t="s">
        <v>1504</v>
      </c>
    </row>
    <row r="132" ht="15.75" customHeight="1">
      <c r="A132" s="40">
        <v>131.0</v>
      </c>
      <c r="B132" s="39" t="s">
        <v>1505</v>
      </c>
      <c r="C132" s="39" t="s">
        <v>1506</v>
      </c>
      <c r="D132" s="39" t="s">
        <v>1507</v>
      </c>
      <c r="E132" s="39" t="s">
        <v>1506</v>
      </c>
      <c r="F132" s="39" t="s">
        <v>270</v>
      </c>
      <c r="G132" s="39" t="s">
        <v>1508</v>
      </c>
      <c r="H132" s="39" t="s">
        <v>1509</v>
      </c>
      <c r="I132" s="39"/>
      <c r="J132" s="39" t="s">
        <v>1510</v>
      </c>
      <c r="K132" s="40">
        <v>1140.0</v>
      </c>
      <c r="L132" s="39" t="s">
        <v>1511</v>
      </c>
      <c r="M132" s="39" t="s">
        <v>1300</v>
      </c>
      <c r="N132" s="39"/>
      <c r="O132" s="39" t="s">
        <v>1301</v>
      </c>
      <c r="P132" s="39" t="s">
        <v>1302</v>
      </c>
      <c r="Q132" s="40">
        <v>97477.0</v>
      </c>
      <c r="R132" s="39" t="s">
        <v>137</v>
      </c>
      <c r="S132" s="39" t="s">
        <v>19</v>
      </c>
      <c r="T132" s="39" t="s">
        <v>138</v>
      </c>
      <c r="U132" s="39" t="s">
        <v>73</v>
      </c>
      <c r="V132" s="39" t="s">
        <v>161</v>
      </c>
      <c r="W132" s="41">
        <v>45631.0</v>
      </c>
      <c r="X132" s="40">
        <v>75.0</v>
      </c>
      <c r="Y132" s="39" t="s">
        <v>1512</v>
      </c>
      <c r="Z132" s="41">
        <v>34454.0</v>
      </c>
      <c r="AA132" s="39" t="s">
        <v>141</v>
      </c>
      <c r="AB132" s="39" t="s">
        <v>142</v>
      </c>
      <c r="AC132" s="39" t="s">
        <v>197</v>
      </c>
      <c r="AD132" s="40">
        <v>140000.0</v>
      </c>
      <c r="AE132" s="40">
        <v>140000.0</v>
      </c>
      <c r="AF132" s="39" t="s">
        <v>144</v>
      </c>
      <c r="AG132" s="39" t="s">
        <v>145</v>
      </c>
      <c r="AH132" s="39" t="s">
        <v>146</v>
      </c>
      <c r="AI132" s="42" t="s">
        <v>1513</v>
      </c>
      <c r="AJ132" s="42" t="s">
        <v>1514</v>
      </c>
    </row>
    <row r="133" ht="15.75" customHeight="1">
      <c r="A133" s="40">
        <v>132.0</v>
      </c>
      <c r="B133" s="39" t="s">
        <v>1515</v>
      </c>
      <c r="C133" s="39" t="s">
        <v>1516</v>
      </c>
      <c r="D133" s="39" t="s">
        <v>1517</v>
      </c>
      <c r="E133" s="39" t="s">
        <v>1516</v>
      </c>
      <c r="F133" s="39" t="s">
        <v>203</v>
      </c>
      <c r="G133" s="39" t="s">
        <v>1518</v>
      </c>
      <c r="H133" s="39" t="s">
        <v>1519</v>
      </c>
      <c r="I133" s="39"/>
      <c r="J133" s="39" t="s">
        <v>1520</v>
      </c>
      <c r="K133" s="40">
        <v>4171.0</v>
      </c>
      <c r="L133" s="39" t="s">
        <v>1521</v>
      </c>
      <c r="M133" s="39" t="s">
        <v>222</v>
      </c>
      <c r="N133" s="39" t="s">
        <v>223</v>
      </c>
      <c r="O133" s="39" t="s">
        <v>135</v>
      </c>
      <c r="P133" s="39" t="s">
        <v>136</v>
      </c>
      <c r="Q133" s="40">
        <v>94104.0</v>
      </c>
      <c r="R133" s="39" t="s">
        <v>137</v>
      </c>
      <c r="S133" s="39" t="s">
        <v>19</v>
      </c>
      <c r="T133" s="39" t="s">
        <v>236</v>
      </c>
      <c r="U133" s="39" t="s">
        <v>68</v>
      </c>
      <c r="V133" s="39" t="s">
        <v>139</v>
      </c>
      <c r="W133" s="41">
        <v>44683.0</v>
      </c>
      <c r="X133" s="40">
        <v>161.0</v>
      </c>
      <c r="Y133" s="39" t="s">
        <v>1522</v>
      </c>
      <c r="Z133" s="41">
        <v>31576.0</v>
      </c>
      <c r="AA133" s="39" t="s">
        <v>141</v>
      </c>
      <c r="AB133" s="39" t="s">
        <v>142</v>
      </c>
      <c r="AC133" s="39" t="s">
        <v>197</v>
      </c>
      <c r="AD133" s="40">
        <v>113000.0</v>
      </c>
      <c r="AE133" s="40">
        <v>113000.0</v>
      </c>
      <c r="AF133" s="39" t="s">
        <v>144</v>
      </c>
      <c r="AG133" s="39" t="s">
        <v>145</v>
      </c>
      <c r="AH133" s="39" t="s">
        <v>146</v>
      </c>
      <c r="AI133" s="42" t="s">
        <v>1523</v>
      </c>
      <c r="AJ133" s="42" t="s">
        <v>1524</v>
      </c>
    </row>
    <row r="134" ht="15.75" customHeight="1">
      <c r="A134" s="40">
        <v>133.0</v>
      </c>
      <c r="B134" s="39" t="s">
        <v>1525</v>
      </c>
      <c r="C134" s="39" t="s">
        <v>1526</v>
      </c>
      <c r="D134" s="39" t="s">
        <v>1527</v>
      </c>
      <c r="E134" s="39" t="s">
        <v>1526</v>
      </c>
      <c r="F134" s="39" t="s">
        <v>255</v>
      </c>
      <c r="G134" s="39" t="s">
        <v>1528</v>
      </c>
      <c r="H134" s="39" t="s">
        <v>1529</v>
      </c>
      <c r="I134" s="39"/>
      <c r="J134" s="39" t="s">
        <v>1530</v>
      </c>
      <c r="K134" s="40">
        <v>279.0</v>
      </c>
      <c r="L134" s="39" t="s">
        <v>1531</v>
      </c>
      <c r="M134" s="39" t="s">
        <v>260</v>
      </c>
      <c r="N134" s="39" t="s">
        <v>261</v>
      </c>
      <c r="O134" s="39" t="s">
        <v>193</v>
      </c>
      <c r="P134" s="39" t="s">
        <v>194</v>
      </c>
      <c r="Q134" s="40">
        <v>10011.0</v>
      </c>
      <c r="R134" s="39" t="s">
        <v>137</v>
      </c>
      <c r="S134" s="39" t="s">
        <v>19</v>
      </c>
      <c r="T134" s="39" t="s">
        <v>236</v>
      </c>
      <c r="U134" s="39" t="s">
        <v>77</v>
      </c>
      <c r="V134" s="39" t="s">
        <v>195</v>
      </c>
      <c r="W134" s="41">
        <v>45757.0</v>
      </c>
      <c r="X134" s="40">
        <v>225.0</v>
      </c>
      <c r="Y134" s="39" t="s">
        <v>1532</v>
      </c>
      <c r="Z134" s="41">
        <v>33965.0</v>
      </c>
      <c r="AA134" s="39" t="s">
        <v>263</v>
      </c>
      <c r="AB134" s="39" t="s">
        <v>180</v>
      </c>
      <c r="AC134" s="39" t="s">
        <v>181</v>
      </c>
      <c r="AD134" s="40">
        <v>123000.0</v>
      </c>
      <c r="AE134" s="40">
        <v>123000.0</v>
      </c>
      <c r="AF134" s="39" t="s">
        <v>144</v>
      </c>
      <c r="AG134" s="39" t="s">
        <v>145</v>
      </c>
      <c r="AH134" s="39" t="s">
        <v>293</v>
      </c>
      <c r="AI134" s="42" t="s">
        <v>1533</v>
      </c>
      <c r="AJ134" s="42" t="s">
        <v>1534</v>
      </c>
    </row>
    <row r="135" ht="15.75" customHeight="1">
      <c r="A135" s="40">
        <v>134.0</v>
      </c>
      <c r="B135" s="39" t="s">
        <v>1535</v>
      </c>
      <c r="C135" s="39" t="s">
        <v>1536</v>
      </c>
      <c r="D135" s="39" t="s">
        <v>1537</v>
      </c>
      <c r="E135" s="39" t="s">
        <v>1536</v>
      </c>
      <c r="F135" s="39" t="s">
        <v>270</v>
      </c>
      <c r="G135" s="39" t="s">
        <v>1538</v>
      </c>
      <c r="H135" s="39" t="s">
        <v>1539</v>
      </c>
      <c r="I135" s="39"/>
      <c r="J135" s="39" t="s">
        <v>1540</v>
      </c>
      <c r="K135" s="40">
        <v>4886.0</v>
      </c>
      <c r="L135" s="39" t="s">
        <v>1541</v>
      </c>
      <c r="M135" s="39" t="s">
        <v>247</v>
      </c>
      <c r="N135" s="39" t="s">
        <v>248</v>
      </c>
      <c r="O135" s="39" t="s">
        <v>135</v>
      </c>
      <c r="P135" s="39" t="s">
        <v>136</v>
      </c>
      <c r="Q135" s="40">
        <v>94103.0</v>
      </c>
      <c r="R135" s="39" t="s">
        <v>137</v>
      </c>
      <c r="S135" s="39" t="s">
        <v>18</v>
      </c>
      <c r="T135" s="39" t="s">
        <v>572</v>
      </c>
      <c r="U135" s="39" t="s">
        <v>57</v>
      </c>
      <c r="V135" s="39" t="s">
        <v>139</v>
      </c>
      <c r="W135" s="41">
        <v>45831.0</v>
      </c>
      <c r="X135" s="40">
        <v>193.0</v>
      </c>
      <c r="Y135" s="39" t="s">
        <v>1542</v>
      </c>
      <c r="Z135" s="41">
        <v>34705.0</v>
      </c>
      <c r="AA135" s="39" t="s">
        <v>163</v>
      </c>
      <c r="AB135" s="39" t="s">
        <v>142</v>
      </c>
      <c r="AC135" s="39" t="s">
        <v>143</v>
      </c>
      <c r="AD135" s="40">
        <v>186000.0</v>
      </c>
      <c r="AE135" s="40">
        <v>186000.0</v>
      </c>
      <c r="AF135" s="39" t="s">
        <v>144</v>
      </c>
      <c r="AG135" s="39" t="s">
        <v>145</v>
      </c>
      <c r="AH135" s="39" t="s">
        <v>293</v>
      </c>
      <c r="AI135" s="42" t="s">
        <v>1543</v>
      </c>
      <c r="AJ135" s="42" t="s">
        <v>1544</v>
      </c>
    </row>
    <row r="136" ht="15.75" customHeight="1">
      <c r="A136" s="40">
        <v>135.0</v>
      </c>
      <c r="B136" s="39" t="s">
        <v>1545</v>
      </c>
      <c r="C136" s="39" t="s">
        <v>1546</v>
      </c>
      <c r="D136" s="39" t="s">
        <v>1547</v>
      </c>
      <c r="E136" s="39" t="s">
        <v>1546</v>
      </c>
      <c r="F136" s="39" t="s">
        <v>186</v>
      </c>
      <c r="G136" s="39" t="s">
        <v>1548</v>
      </c>
      <c r="H136" s="39" t="s">
        <v>1549</v>
      </c>
      <c r="I136" s="39"/>
      <c r="J136" s="39" t="s">
        <v>1550</v>
      </c>
      <c r="K136" s="40">
        <v>2030.0</v>
      </c>
      <c r="L136" s="39" t="s">
        <v>1551</v>
      </c>
      <c r="M136" s="39" t="s">
        <v>208</v>
      </c>
      <c r="N136" s="39" t="s">
        <v>209</v>
      </c>
      <c r="O136" s="39" t="s">
        <v>135</v>
      </c>
      <c r="P136" s="39" t="s">
        <v>136</v>
      </c>
      <c r="Q136" s="40">
        <v>94105.0</v>
      </c>
      <c r="R136" s="39" t="s">
        <v>137</v>
      </c>
      <c r="S136" s="39" t="s">
        <v>17</v>
      </c>
      <c r="T136" s="39" t="s">
        <v>17</v>
      </c>
      <c r="U136" s="39" t="s">
        <v>49</v>
      </c>
      <c r="V136" s="39" t="s">
        <v>139</v>
      </c>
      <c r="W136" s="41">
        <v>44620.0</v>
      </c>
      <c r="X136" s="40">
        <v>178.0</v>
      </c>
      <c r="Y136" s="39" t="s">
        <v>1552</v>
      </c>
      <c r="Z136" s="41">
        <v>34652.0</v>
      </c>
      <c r="AA136" s="39" t="s">
        <v>279</v>
      </c>
      <c r="AB136" s="39" t="s">
        <v>225</v>
      </c>
      <c r="AC136" s="39" t="s">
        <v>143</v>
      </c>
      <c r="AD136" s="40">
        <v>80000.0</v>
      </c>
      <c r="AE136" s="40">
        <v>80000.0</v>
      </c>
      <c r="AF136" s="39" t="s">
        <v>144</v>
      </c>
      <c r="AG136" s="39" t="s">
        <v>145</v>
      </c>
      <c r="AH136" s="39" t="s">
        <v>293</v>
      </c>
      <c r="AI136" s="42" t="s">
        <v>1553</v>
      </c>
      <c r="AJ136" s="42" t="s">
        <v>1554</v>
      </c>
    </row>
    <row r="137" ht="15.75" customHeight="1">
      <c r="A137" s="40">
        <v>136.0</v>
      </c>
      <c r="B137" s="39" t="s">
        <v>1555</v>
      </c>
      <c r="C137" s="39" t="s">
        <v>1556</v>
      </c>
      <c r="D137" s="39" t="s">
        <v>1557</v>
      </c>
      <c r="E137" s="39" t="s">
        <v>1556</v>
      </c>
      <c r="F137" s="39" t="s">
        <v>217</v>
      </c>
      <c r="G137" s="39" t="s">
        <v>1558</v>
      </c>
      <c r="H137" s="39" t="s">
        <v>1559</v>
      </c>
      <c r="I137" s="39"/>
      <c r="J137" s="39" t="s">
        <v>1560</v>
      </c>
      <c r="K137" s="40">
        <v>5817.0</v>
      </c>
      <c r="L137" s="39" t="s">
        <v>1561</v>
      </c>
      <c r="M137" s="39" t="s">
        <v>815</v>
      </c>
      <c r="N137" s="39" t="s">
        <v>816</v>
      </c>
      <c r="O137" s="39" t="s">
        <v>817</v>
      </c>
      <c r="P137" s="39" t="s">
        <v>818</v>
      </c>
      <c r="Q137" s="40">
        <v>60606.0</v>
      </c>
      <c r="R137" s="39" t="s">
        <v>137</v>
      </c>
      <c r="S137" s="39" t="s">
        <v>17</v>
      </c>
      <c r="T137" s="39" t="s">
        <v>17</v>
      </c>
      <c r="U137" s="39" t="s">
        <v>50</v>
      </c>
      <c r="V137" s="39" t="s">
        <v>161</v>
      </c>
      <c r="W137" s="41">
        <v>45122.0</v>
      </c>
      <c r="X137" s="40">
        <v>179.0</v>
      </c>
      <c r="Y137" s="39" t="s">
        <v>1562</v>
      </c>
      <c r="Z137" s="41">
        <v>36057.0</v>
      </c>
      <c r="AA137" s="39" t="s">
        <v>141</v>
      </c>
      <c r="AB137" s="39" t="s">
        <v>142</v>
      </c>
      <c r="AC137" s="39" t="s">
        <v>197</v>
      </c>
      <c r="AD137" s="40">
        <v>86000.0</v>
      </c>
      <c r="AE137" s="40">
        <v>86000.0</v>
      </c>
      <c r="AF137" s="39" t="s">
        <v>144</v>
      </c>
      <c r="AG137" s="39" t="s">
        <v>145</v>
      </c>
      <c r="AH137" s="39" t="s">
        <v>293</v>
      </c>
      <c r="AI137" s="42" t="s">
        <v>1563</v>
      </c>
      <c r="AJ137" s="42" t="s">
        <v>1564</v>
      </c>
    </row>
    <row r="138" ht="15.75" customHeight="1">
      <c r="A138" s="40">
        <v>137.0</v>
      </c>
      <c r="B138" s="39" t="s">
        <v>1565</v>
      </c>
      <c r="C138" s="39" t="s">
        <v>1566</v>
      </c>
      <c r="D138" s="39" t="s">
        <v>1567</v>
      </c>
      <c r="E138" s="39" t="s">
        <v>1566</v>
      </c>
      <c r="F138" s="39" t="s">
        <v>231</v>
      </c>
      <c r="G138" s="39" t="s">
        <v>1568</v>
      </c>
      <c r="H138" s="39" t="s">
        <v>1569</v>
      </c>
      <c r="I138" s="39"/>
      <c r="J138" s="39" t="s">
        <v>1570</v>
      </c>
      <c r="K138" s="40">
        <v>7386.0</v>
      </c>
      <c r="L138" s="39" t="s">
        <v>1571</v>
      </c>
      <c r="M138" s="39" t="s">
        <v>379</v>
      </c>
      <c r="N138" s="39" t="s">
        <v>380</v>
      </c>
      <c r="O138" s="39" t="s">
        <v>193</v>
      </c>
      <c r="P138" s="39" t="s">
        <v>194</v>
      </c>
      <c r="Q138" s="40">
        <v>10036.0</v>
      </c>
      <c r="R138" s="39" t="s">
        <v>137</v>
      </c>
      <c r="S138" s="39" t="s">
        <v>16</v>
      </c>
      <c r="T138" s="39" t="s">
        <v>16</v>
      </c>
      <c r="U138" s="39" t="s">
        <v>86</v>
      </c>
      <c r="V138" s="39" t="s">
        <v>195</v>
      </c>
      <c r="W138" s="41">
        <v>45908.0</v>
      </c>
      <c r="X138" s="40">
        <v>217.0</v>
      </c>
      <c r="Y138" s="39" t="s">
        <v>1572</v>
      </c>
      <c r="Z138" s="41">
        <v>36569.0</v>
      </c>
      <c r="AA138" s="39" t="s">
        <v>163</v>
      </c>
      <c r="AB138" s="39" t="s">
        <v>142</v>
      </c>
      <c r="AC138" s="39" t="s">
        <v>197</v>
      </c>
      <c r="AD138" s="40">
        <v>100000.0</v>
      </c>
      <c r="AE138" s="40">
        <v>100000.0</v>
      </c>
      <c r="AF138" s="39" t="s">
        <v>144</v>
      </c>
      <c r="AG138" s="39" t="s">
        <v>145</v>
      </c>
      <c r="AH138" s="39" t="s">
        <v>293</v>
      </c>
      <c r="AI138" s="42" t="s">
        <v>1573</v>
      </c>
      <c r="AJ138" s="42" t="s">
        <v>1574</v>
      </c>
    </row>
    <row r="139" ht="15.75" customHeight="1">
      <c r="A139" s="40">
        <v>138.0</v>
      </c>
      <c r="B139" s="39" t="s">
        <v>1575</v>
      </c>
      <c r="C139" s="39" t="s">
        <v>1576</v>
      </c>
      <c r="D139" s="39" t="s">
        <v>1577</v>
      </c>
      <c r="E139" s="39" t="s">
        <v>1576</v>
      </c>
      <c r="F139" s="39" t="s">
        <v>427</v>
      </c>
      <c r="G139" s="39" t="s">
        <v>1578</v>
      </c>
      <c r="H139" s="39" t="s">
        <v>1579</v>
      </c>
      <c r="I139" s="39"/>
      <c r="J139" s="39" t="s">
        <v>1580</v>
      </c>
      <c r="K139" s="40">
        <v>2549.0</v>
      </c>
      <c r="L139" s="39" t="s">
        <v>1581</v>
      </c>
      <c r="M139" s="39" t="s">
        <v>314</v>
      </c>
      <c r="N139" s="39" t="s">
        <v>315</v>
      </c>
      <c r="O139" s="39" t="s">
        <v>193</v>
      </c>
      <c r="P139" s="39" t="s">
        <v>194</v>
      </c>
      <c r="Q139" s="40">
        <v>10007.0</v>
      </c>
      <c r="R139" s="39" t="s">
        <v>137</v>
      </c>
      <c r="S139" s="39" t="s">
        <v>16</v>
      </c>
      <c r="T139" s="39" t="s">
        <v>16</v>
      </c>
      <c r="U139" s="39" t="s">
        <v>85</v>
      </c>
      <c r="V139" s="39" t="s">
        <v>195</v>
      </c>
      <c r="W139" s="41">
        <v>44740.0</v>
      </c>
      <c r="X139" s="40">
        <v>159.0</v>
      </c>
      <c r="Y139" s="39" t="s">
        <v>1582</v>
      </c>
      <c r="Z139" s="41">
        <v>27901.0</v>
      </c>
      <c r="AA139" s="39" t="s">
        <v>279</v>
      </c>
      <c r="AB139" s="39" t="s">
        <v>180</v>
      </c>
      <c r="AC139" s="39" t="s">
        <v>197</v>
      </c>
      <c r="AD139" s="40">
        <v>165000.0</v>
      </c>
      <c r="AE139" s="40">
        <v>165000.0</v>
      </c>
      <c r="AF139" s="39" t="s">
        <v>144</v>
      </c>
      <c r="AG139" s="39" t="s">
        <v>145</v>
      </c>
      <c r="AH139" s="39" t="s">
        <v>293</v>
      </c>
      <c r="AI139" s="42" t="s">
        <v>1583</v>
      </c>
      <c r="AJ139" s="42" t="s">
        <v>1584</v>
      </c>
    </row>
    <row r="140" ht="15.75" customHeight="1">
      <c r="A140" s="40">
        <v>139.0</v>
      </c>
      <c r="B140" s="39" t="s">
        <v>1585</v>
      </c>
      <c r="C140" s="39" t="s">
        <v>1586</v>
      </c>
      <c r="D140" s="39" t="s">
        <v>1587</v>
      </c>
      <c r="E140" s="39" t="s">
        <v>1586</v>
      </c>
      <c r="F140" s="39" t="s">
        <v>427</v>
      </c>
      <c r="G140" s="39" t="s">
        <v>1588</v>
      </c>
      <c r="H140" s="39" t="s">
        <v>1589</v>
      </c>
      <c r="I140" s="39"/>
      <c r="J140" s="39" t="s">
        <v>1590</v>
      </c>
      <c r="K140" s="40">
        <v>9380.0</v>
      </c>
      <c r="L140" s="39" t="s">
        <v>1591</v>
      </c>
      <c r="M140" s="39" t="s">
        <v>289</v>
      </c>
      <c r="N140" s="39"/>
      <c r="O140" s="39" t="s">
        <v>174</v>
      </c>
      <c r="P140" s="39" t="s">
        <v>175</v>
      </c>
      <c r="Q140" s="39" t="s">
        <v>290</v>
      </c>
      <c r="R140" s="39" t="s">
        <v>177</v>
      </c>
      <c r="S140" s="39" t="s">
        <v>16</v>
      </c>
      <c r="T140" s="39" t="s">
        <v>16</v>
      </c>
      <c r="U140" s="39" t="s">
        <v>80</v>
      </c>
      <c r="V140" s="39" t="s">
        <v>178</v>
      </c>
      <c r="W140" s="41">
        <v>44688.0</v>
      </c>
      <c r="X140" s="40">
        <v>219.0</v>
      </c>
      <c r="Y140" s="39" t="s">
        <v>1592</v>
      </c>
      <c r="Z140" s="41">
        <v>32150.0</v>
      </c>
      <c r="AA140" s="39" t="s">
        <v>141</v>
      </c>
      <c r="AB140" s="39" t="s">
        <v>142</v>
      </c>
      <c r="AC140" s="39" t="s">
        <v>292</v>
      </c>
      <c r="AD140" s="40">
        <v>133000.0</v>
      </c>
      <c r="AE140" s="40">
        <v>133000.0</v>
      </c>
      <c r="AF140" s="39" t="s">
        <v>144</v>
      </c>
      <c r="AG140" s="39" t="s">
        <v>145</v>
      </c>
      <c r="AH140" s="39" t="s">
        <v>146</v>
      </c>
      <c r="AI140" s="42" t="s">
        <v>1593</v>
      </c>
      <c r="AJ140" s="42" t="s">
        <v>1594</v>
      </c>
    </row>
    <row r="141" ht="15.75" customHeight="1">
      <c r="A141" s="40">
        <v>140.0</v>
      </c>
      <c r="B141" s="39" t="s">
        <v>1595</v>
      </c>
      <c r="C141" s="39" t="s">
        <v>1596</v>
      </c>
      <c r="D141" s="39" t="s">
        <v>1597</v>
      </c>
      <c r="E141" s="39" t="s">
        <v>1596</v>
      </c>
      <c r="F141" s="39" t="s">
        <v>128</v>
      </c>
      <c r="G141" s="39" t="s">
        <v>1598</v>
      </c>
      <c r="H141" s="39" t="s">
        <v>1599</v>
      </c>
      <c r="I141" s="39"/>
      <c r="J141" s="39" t="s">
        <v>1600</v>
      </c>
      <c r="K141" s="40">
        <v>2426.0</v>
      </c>
      <c r="L141" s="39" t="s">
        <v>1601</v>
      </c>
      <c r="M141" s="39" t="s">
        <v>379</v>
      </c>
      <c r="N141" s="39" t="s">
        <v>380</v>
      </c>
      <c r="O141" s="39" t="s">
        <v>193</v>
      </c>
      <c r="P141" s="39" t="s">
        <v>194</v>
      </c>
      <c r="Q141" s="40">
        <v>10036.0</v>
      </c>
      <c r="R141" s="39" t="s">
        <v>137</v>
      </c>
      <c r="S141" s="39" t="s">
        <v>19</v>
      </c>
      <c r="T141" s="39" t="s">
        <v>160</v>
      </c>
      <c r="U141" s="39" t="s">
        <v>69</v>
      </c>
      <c r="V141" s="39" t="s">
        <v>195</v>
      </c>
      <c r="W141" s="41">
        <v>45411.0</v>
      </c>
      <c r="X141" s="40">
        <v>238.0</v>
      </c>
      <c r="Y141" s="39" t="s">
        <v>1602</v>
      </c>
      <c r="Z141" s="41">
        <v>31973.0</v>
      </c>
      <c r="AA141" s="39" t="s">
        <v>163</v>
      </c>
      <c r="AB141" s="39" t="s">
        <v>142</v>
      </c>
      <c r="AC141" s="39" t="s">
        <v>143</v>
      </c>
      <c r="AD141" s="40">
        <v>172000.0</v>
      </c>
      <c r="AE141" s="40">
        <v>172000.0</v>
      </c>
      <c r="AF141" s="39" t="s">
        <v>144</v>
      </c>
      <c r="AG141" s="39" t="s">
        <v>145</v>
      </c>
      <c r="AH141" s="39" t="s">
        <v>146</v>
      </c>
      <c r="AI141" s="42" t="s">
        <v>1603</v>
      </c>
      <c r="AJ141" s="42" t="s">
        <v>1604</v>
      </c>
    </row>
    <row r="142" ht="15.75" customHeight="1">
      <c r="A142" s="40">
        <v>141.0</v>
      </c>
      <c r="B142" s="39" t="s">
        <v>1605</v>
      </c>
      <c r="C142" s="39" t="s">
        <v>1606</v>
      </c>
      <c r="D142" s="39" t="s">
        <v>1607</v>
      </c>
      <c r="E142" s="39" t="s">
        <v>1606</v>
      </c>
      <c r="F142" s="39" t="s">
        <v>270</v>
      </c>
      <c r="G142" s="39" t="s">
        <v>1608</v>
      </c>
      <c r="H142" s="39" t="s">
        <v>1609</v>
      </c>
      <c r="I142" s="39"/>
      <c r="J142" s="39" t="s">
        <v>1610</v>
      </c>
      <c r="K142" s="40">
        <v>6589.0</v>
      </c>
      <c r="L142" s="39" t="s">
        <v>1611</v>
      </c>
      <c r="M142" s="39" t="s">
        <v>222</v>
      </c>
      <c r="N142" s="39" t="s">
        <v>223</v>
      </c>
      <c r="O142" s="39" t="s">
        <v>135</v>
      </c>
      <c r="P142" s="39" t="s">
        <v>136</v>
      </c>
      <c r="Q142" s="40">
        <v>94104.0</v>
      </c>
      <c r="R142" s="39" t="s">
        <v>137</v>
      </c>
      <c r="S142" s="39" t="s">
        <v>19</v>
      </c>
      <c r="T142" s="39" t="s">
        <v>236</v>
      </c>
      <c r="U142" s="39" t="s">
        <v>76</v>
      </c>
      <c r="V142" s="39" t="s">
        <v>139</v>
      </c>
      <c r="W142" s="41">
        <v>44791.0</v>
      </c>
      <c r="X142" s="40">
        <v>52.0</v>
      </c>
      <c r="Y142" s="39" t="s">
        <v>1612</v>
      </c>
      <c r="Z142" s="41">
        <v>31210.0</v>
      </c>
      <c r="AA142" s="39" t="s">
        <v>279</v>
      </c>
      <c r="AB142" s="39" t="s">
        <v>142</v>
      </c>
      <c r="AC142" s="39" t="s">
        <v>197</v>
      </c>
      <c r="AD142" s="40">
        <v>157000.0</v>
      </c>
      <c r="AE142" s="40">
        <v>157000.0</v>
      </c>
      <c r="AF142" s="39" t="s">
        <v>144</v>
      </c>
      <c r="AG142" s="39" t="s">
        <v>145</v>
      </c>
      <c r="AH142" s="39" t="s">
        <v>146</v>
      </c>
      <c r="AI142" s="42" t="s">
        <v>1613</v>
      </c>
      <c r="AJ142" s="42" t="s">
        <v>1614</v>
      </c>
    </row>
    <row r="143" ht="15.75" customHeight="1">
      <c r="A143" s="40">
        <v>142.0</v>
      </c>
      <c r="B143" s="39" t="s">
        <v>1615</v>
      </c>
      <c r="C143" s="39" t="s">
        <v>1616</v>
      </c>
      <c r="D143" s="39" t="s">
        <v>1617</v>
      </c>
      <c r="E143" s="39" t="s">
        <v>1616</v>
      </c>
      <c r="F143" s="39" t="s">
        <v>255</v>
      </c>
      <c r="G143" s="39" t="s">
        <v>1618</v>
      </c>
      <c r="H143" s="39" t="s">
        <v>1619</v>
      </c>
      <c r="I143" s="39"/>
      <c r="J143" s="39" t="s">
        <v>1620</v>
      </c>
      <c r="K143" s="40">
        <v>5011.0</v>
      </c>
      <c r="L143" s="39" t="s">
        <v>1621</v>
      </c>
      <c r="M143" s="39" t="s">
        <v>247</v>
      </c>
      <c r="N143" s="39" t="s">
        <v>248</v>
      </c>
      <c r="O143" s="39" t="s">
        <v>135</v>
      </c>
      <c r="P143" s="39" t="s">
        <v>136</v>
      </c>
      <c r="Q143" s="40">
        <v>94103.0</v>
      </c>
      <c r="R143" s="39" t="s">
        <v>137</v>
      </c>
      <c r="S143" s="39" t="s">
        <v>19</v>
      </c>
      <c r="T143" s="39" t="s">
        <v>160</v>
      </c>
      <c r="U143" s="39" t="s">
        <v>74</v>
      </c>
      <c r="V143" s="39" t="s">
        <v>139</v>
      </c>
      <c r="W143" s="41">
        <v>45892.0</v>
      </c>
      <c r="X143" s="40">
        <v>238.0</v>
      </c>
      <c r="Y143" s="39" t="s">
        <v>1622</v>
      </c>
      <c r="Z143" s="41">
        <v>29932.0</v>
      </c>
      <c r="AA143" s="39" t="s">
        <v>141</v>
      </c>
      <c r="AB143" s="39" t="s">
        <v>142</v>
      </c>
      <c r="AC143" s="39" t="s">
        <v>197</v>
      </c>
      <c r="AD143" s="40">
        <v>199000.0</v>
      </c>
      <c r="AE143" s="40">
        <v>199000.0</v>
      </c>
      <c r="AF143" s="39" t="s">
        <v>144</v>
      </c>
      <c r="AG143" s="39" t="s">
        <v>145</v>
      </c>
      <c r="AH143" s="39" t="s">
        <v>146</v>
      </c>
      <c r="AI143" s="42" t="s">
        <v>1623</v>
      </c>
      <c r="AJ143" s="42" t="s">
        <v>1624</v>
      </c>
    </row>
    <row r="144" ht="15.75" customHeight="1">
      <c r="A144" s="40">
        <v>143.0</v>
      </c>
      <c r="B144" s="39" t="s">
        <v>1625</v>
      </c>
      <c r="C144" s="39" t="s">
        <v>1626</v>
      </c>
      <c r="D144" s="39" t="s">
        <v>1627</v>
      </c>
      <c r="E144" s="39" t="s">
        <v>1626</v>
      </c>
      <c r="F144" s="39" t="s">
        <v>152</v>
      </c>
      <c r="G144" s="39" t="s">
        <v>1628</v>
      </c>
      <c r="H144" s="39" t="s">
        <v>1629</v>
      </c>
      <c r="I144" s="39"/>
      <c r="J144" s="39" t="s">
        <v>1630</v>
      </c>
      <c r="K144" s="40">
        <v>7224.0</v>
      </c>
      <c r="L144" s="39" t="s">
        <v>1631</v>
      </c>
      <c r="M144" s="39" t="s">
        <v>208</v>
      </c>
      <c r="N144" s="39" t="s">
        <v>209</v>
      </c>
      <c r="O144" s="39" t="s">
        <v>135</v>
      </c>
      <c r="P144" s="39" t="s">
        <v>136</v>
      </c>
      <c r="Q144" s="40">
        <v>94105.0</v>
      </c>
      <c r="R144" s="39" t="s">
        <v>137</v>
      </c>
      <c r="S144" s="39" t="s">
        <v>19</v>
      </c>
      <c r="T144" s="39" t="s">
        <v>160</v>
      </c>
      <c r="U144" s="39" t="s">
        <v>69</v>
      </c>
      <c r="V144" s="39" t="s">
        <v>139</v>
      </c>
      <c r="W144" s="41">
        <v>45638.0</v>
      </c>
      <c r="X144" s="40">
        <v>238.0</v>
      </c>
      <c r="Y144" s="39" t="s">
        <v>1632</v>
      </c>
      <c r="Z144" s="41">
        <v>33829.0</v>
      </c>
      <c r="AA144" s="39" t="s">
        <v>141</v>
      </c>
      <c r="AB144" s="39" t="s">
        <v>180</v>
      </c>
      <c r="AC144" s="39" t="s">
        <v>197</v>
      </c>
      <c r="AD144" s="40">
        <v>197000.0</v>
      </c>
      <c r="AE144" s="40">
        <v>197000.0</v>
      </c>
      <c r="AF144" s="39" t="s">
        <v>144</v>
      </c>
      <c r="AG144" s="39" t="s">
        <v>145</v>
      </c>
      <c r="AH144" s="39" t="s">
        <v>293</v>
      </c>
      <c r="AI144" s="42" t="s">
        <v>1633</v>
      </c>
      <c r="AJ144" s="42" t="s">
        <v>1634</v>
      </c>
    </row>
    <row r="145" ht="15.75" customHeight="1">
      <c r="A145" s="40">
        <v>144.0</v>
      </c>
      <c r="B145" s="39" t="s">
        <v>1635</v>
      </c>
      <c r="C145" s="39" t="s">
        <v>486</v>
      </c>
      <c r="D145" s="39" t="s">
        <v>1636</v>
      </c>
      <c r="E145" s="39" t="s">
        <v>486</v>
      </c>
      <c r="F145" s="39" t="s">
        <v>152</v>
      </c>
      <c r="G145" s="39" t="s">
        <v>1637</v>
      </c>
      <c r="H145" s="39" t="s">
        <v>1638</v>
      </c>
      <c r="I145" s="39"/>
      <c r="J145" s="39" t="s">
        <v>1639</v>
      </c>
      <c r="K145" s="40">
        <v>8178.0</v>
      </c>
      <c r="L145" s="39" t="s">
        <v>1640</v>
      </c>
      <c r="M145" s="39" t="s">
        <v>1300</v>
      </c>
      <c r="N145" s="39"/>
      <c r="O145" s="39" t="s">
        <v>1301</v>
      </c>
      <c r="P145" s="39" t="s">
        <v>1302</v>
      </c>
      <c r="Q145" s="40">
        <v>97477.0</v>
      </c>
      <c r="R145" s="39" t="s">
        <v>137</v>
      </c>
      <c r="S145" s="39" t="s">
        <v>19</v>
      </c>
      <c r="T145" s="39" t="s">
        <v>160</v>
      </c>
      <c r="U145" s="39" t="s">
        <v>76</v>
      </c>
      <c r="V145" s="39" t="s">
        <v>161</v>
      </c>
      <c r="W145" s="41">
        <v>45565.0</v>
      </c>
      <c r="X145" s="40">
        <v>107.0</v>
      </c>
      <c r="Y145" s="39" t="s">
        <v>1641</v>
      </c>
      <c r="Z145" s="41">
        <v>33746.0</v>
      </c>
      <c r="AA145" s="39" t="s">
        <v>163</v>
      </c>
      <c r="AB145" s="39" t="s">
        <v>304</v>
      </c>
      <c r="AC145" s="39" t="s">
        <v>197</v>
      </c>
      <c r="AD145" s="40">
        <v>210000.0</v>
      </c>
      <c r="AE145" s="40">
        <v>210000.0</v>
      </c>
      <c r="AF145" s="39" t="s">
        <v>144</v>
      </c>
      <c r="AG145" s="39" t="s">
        <v>145</v>
      </c>
      <c r="AH145" s="39" t="s">
        <v>293</v>
      </c>
      <c r="AI145" s="42" t="s">
        <v>1642</v>
      </c>
      <c r="AJ145" s="42" t="s">
        <v>1643</v>
      </c>
    </row>
    <row r="146" ht="15.75" customHeight="1">
      <c r="A146" s="40">
        <v>145.0</v>
      </c>
      <c r="B146" s="39" t="s">
        <v>1644</v>
      </c>
      <c r="C146" s="39" t="s">
        <v>1645</v>
      </c>
      <c r="D146" s="39" t="s">
        <v>1646</v>
      </c>
      <c r="E146" s="39" t="s">
        <v>1645</v>
      </c>
      <c r="F146" s="39" t="s">
        <v>427</v>
      </c>
      <c r="G146" s="39" t="s">
        <v>1647</v>
      </c>
      <c r="H146" s="39" t="s">
        <v>1648</v>
      </c>
      <c r="I146" s="39"/>
      <c r="J146" s="39" t="s">
        <v>1649</v>
      </c>
      <c r="K146" s="40">
        <v>2549.0</v>
      </c>
      <c r="L146" s="39" t="s">
        <v>1650</v>
      </c>
      <c r="M146" s="39" t="s">
        <v>222</v>
      </c>
      <c r="N146" s="39" t="s">
        <v>223</v>
      </c>
      <c r="O146" s="39" t="s">
        <v>135</v>
      </c>
      <c r="P146" s="39" t="s">
        <v>136</v>
      </c>
      <c r="Q146" s="40">
        <v>94104.0</v>
      </c>
      <c r="R146" s="39" t="s">
        <v>137</v>
      </c>
      <c r="S146" s="39" t="s">
        <v>19</v>
      </c>
      <c r="T146" s="39" t="s">
        <v>138</v>
      </c>
      <c r="U146" s="39" t="s">
        <v>72</v>
      </c>
      <c r="V146" s="39" t="s">
        <v>139</v>
      </c>
      <c r="W146" s="41">
        <v>44769.0</v>
      </c>
      <c r="X146" s="40">
        <v>83.0</v>
      </c>
      <c r="Y146" s="39" t="s">
        <v>1651</v>
      </c>
      <c r="Z146" s="41">
        <v>37184.0</v>
      </c>
      <c r="AA146" s="39" t="s">
        <v>163</v>
      </c>
      <c r="AB146" s="39" t="s">
        <v>180</v>
      </c>
      <c r="AC146" s="39" t="s">
        <v>143</v>
      </c>
      <c r="AD146" s="40">
        <v>122000.0</v>
      </c>
      <c r="AE146" s="40">
        <v>122000.0</v>
      </c>
      <c r="AF146" s="39" t="s">
        <v>144</v>
      </c>
      <c r="AG146" s="39" t="s">
        <v>145</v>
      </c>
      <c r="AH146" s="39" t="s">
        <v>146</v>
      </c>
      <c r="AI146" s="42" t="s">
        <v>1652</v>
      </c>
      <c r="AJ146" s="42" t="s">
        <v>1653</v>
      </c>
    </row>
    <row r="147" ht="15.75" customHeight="1">
      <c r="A147" s="40">
        <v>146.0</v>
      </c>
      <c r="B147" s="39" t="s">
        <v>1654</v>
      </c>
      <c r="C147" s="39" t="s">
        <v>1655</v>
      </c>
      <c r="D147" s="39" t="s">
        <v>1656</v>
      </c>
      <c r="E147" s="39" t="s">
        <v>1655</v>
      </c>
      <c r="F147" s="39" t="s">
        <v>255</v>
      </c>
      <c r="G147" s="39" t="s">
        <v>1657</v>
      </c>
      <c r="H147" s="39" t="s">
        <v>1658</v>
      </c>
      <c r="I147" s="39"/>
      <c r="J147" s="39" t="s">
        <v>1659</v>
      </c>
      <c r="K147" s="40">
        <v>2678.0</v>
      </c>
      <c r="L147" s="39" t="s">
        <v>1660</v>
      </c>
      <c r="M147" s="39" t="s">
        <v>208</v>
      </c>
      <c r="N147" s="39" t="s">
        <v>209</v>
      </c>
      <c r="O147" s="39" t="s">
        <v>135</v>
      </c>
      <c r="P147" s="39" t="s">
        <v>136</v>
      </c>
      <c r="Q147" s="40">
        <v>94105.0</v>
      </c>
      <c r="R147" s="39" t="s">
        <v>137</v>
      </c>
      <c r="S147" s="39" t="s">
        <v>19</v>
      </c>
      <c r="T147" s="39" t="s">
        <v>160</v>
      </c>
      <c r="U147" s="39" t="s">
        <v>77</v>
      </c>
      <c r="V147" s="39" t="s">
        <v>139</v>
      </c>
      <c r="W147" s="41">
        <v>45721.0</v>
      </c>
      <c r="X147" s="40">
        <v>84.0</v>
      </c>
      <c r="Y147" s="39" t="s">
        <v>1661</v>
      </c>
      <c r="Z147" s="41">
        <v>32228.0</v>
      </c>
      <c r="AA147" s="39" t="s">
        <v>279</v>
      </c>
      <c r="AB147" s="39" t="s">
        <v>142</v>
      </c>
      <c r="AC147" s="39" t="s">
        <v>197</v>
      </c>
      <c r="AD147" s="40">
        <v>150000.0</v>
      </c>
      <c r="AE147" s="40">
        <v>150000.0</v>
      </c>
      <c r="AF147" s="39" t="s">
        <v>144</v>
      </c>
      <c r="AG147" s="39" t="s">
        <v>145</v>
      </c>
      <c r="AH147" s="39" t="s">
        <v>293</v>
      </c>
      <c r="AI147" s="42" t="s">
        <v>1662</v>
      </c>
      <c r="AJ147" s="42" t="s">
        <v>1663</v>
      </c>
    </row>
    <row r="148" ht="15.75" customHeight="1">
      <c r="A148" s="40">
        <v>147.0</v>
      </c>
      <c r="B148" s="39" t="s">
        <v>1664</v>
      </c>
      <c r="C148" s="39" t="s">
        <v>1665</v>
      </c>
      <c r="D148" s="39" t="s">
        <v>1666</v>
      </c>
      <c r="E148" s="39" t="s">
        <v>1665</v>
      </c>
      <c r="F148" s="39" t="s">
        <v>374</v>
      </c>
      <c r="G148" s="39" t="s">
        <v>1667</v>
      </c>
      <c r="H148" s="39" t="s">
        <v>1668</v>
      </c>
      <c r="I148" s="39"/>
      <c r="J148" s="39" t="s">
        <v>1669</v>
      </c>
      <c r="K148" s="40">
        <v>107.0</v>
      </c>
      <c r="L148" s="39" t="s">
        <v>1670</v>
      </c>
      <c r="M148" s="39" t="s">
        <v>157</v>
      </c>
      <c r="N148" s="39"/>
      <c r="O148" s="39" t="s">
        <v>158</v>
      </c>
      <c r="P148" s="39" t="s">
        <v>159</v>
      </c>
      <c r="Q148" s="40">
        <v>80202.0</v>
      </c>
      <c r="R148" s="39" t="s">
        <v>137</v>
      </c>
      <c r="S148" s="39" t="s">
        <v>19</v>
      </c>
      <c r="T148" s="39" t="s">
        <v>236</v>
      </c>
      <c r="U148" s="39" t="s">
        <v>77</v>
      </c>
      <c r="V148" s="39" t="s">
        <v>161</v>
      </c>
      <c r="W148" s="41">
        <v>45338.0</v>
      </c>
      <c r="X148" s="40">
        <v>52.0</v>
      </c>
      <c r="Y148" s="39" t="s">
        <v>1671</v>
      </c>
      <c r="Z148" s="41">
        <v>33209.0</v>
      </c>
      <c r="AA148" s="39" t="s">
        <v>141</v>
      </c>
      <c r="AB148" s="39" t="s">
        <v>142</v>
      </c>
      <c r="AC148" s="39" t="s">
        <v>197</v>
      </c>
      <c r="AD148" s="40">
        <v>121000.0</v>
      </c>
      <c r="AE148" s="40">
        <v>121000.0</v>
      </c>
      <c r="AF148" s="39" t="s">
        <v>144</v>
      </c>
      <c r="AG148" s="39" t="s">
        <v>145</v>
      </c>
      <c r="AH148" s="39" t="s">
        <v>293</v>
      </c>
      <c r="AI148" s="42" t="s">
        <v>1672</v>
      </c>
      <c r="AJ148" s="42" t="s">
        <v>1673</v>
      </c>
    </row>
    <row r="149" ht="15.75" customHeight="1">
      <c r="A149" s="40">
        <v>148.0</v>
      </c>
      <c r="B149" s="39" t="s">
        <v>1674</v>
      </c>
      <c r="C149" s="39" t="s">
        <v>1675</v>
      </c>
      <c r="D149" s="39" t="s">
        <v>1676</v>
      </c>
      <c r="E149" s="39" t="s">
        <v>1675</v>
      </c>
      <c r="F149" s="39" t="s">
        <v>152</v>
      </c>
      <c r="G149" s="39" t="s">
        <v>1677</v>
      </c>
      <c r="H149" s="39" t="s">
        <v>1678</v>
      </c>
      <c r="I149" s="39"/>
      <c r="J149" s="39" t="s">
        <v>1679</v>
      </c>
      <c r="K149" s="40">
        <v>9180.0</v>
      </c>
      <c r="L149" s="39" t="s">
        <v>1680</v>
      </c>
      <c r="M149" s="39" t="s">
        <v>346</v>
      </c>
      <c r="N149" s="39"/>
      <c r="O149" s="39" t="s">
        <v>174</v>
      </c>
      <c r="P149" s="39" t="s">
        <v>175</v>
      </c>
      <c r="Q149" s="39" t="s">
        <v>347</v>
      </c>
      <c r="R149" s="39" t="s">
        <v>177</v>
      </c>
      <c r="S149" s="39" t="s">
        <v>19</v>
      </c>
      <c r="T149" s="39" t="s">
        <v>160</v>
      </c>
      <c r="U149" s="39" t="s">
        <v>73</v>
      </c>
      <c r="V149" s="39" t="s">
        <v>178</v>
      </c>
      <c r="W149" s="41">
        <v>44693.0</v>
      </c>
      <c r="X149" s="40">
        <v>94.0</v>
      </c>
      <c r="Y149" s="39" t="s">
        <v>1681</v>
      </c>
      <c r="Z149" s="41">
        <v>31751.0</v>
      </c>
      <c r="AA149" s="39" t="s">
        <v>163</v>
      </c>
      <c r="AB149" s="39" t="s">
        <v>142</v>
      </c>
      <c r="AC149" s="39" t="s">
        <v>197</v>
      </c>
      <c r="AD149" s="40">
        <v>126000.0</v>
      </c>
      <c r="AE149" s="40">
        <v>126000.0</v>
      </c>
      <c r="AF149" s="39" t="s">
        <v>144</v>
      </c>
      <c r="AG149" s="39" t="s">
        <v>145</v>
      </c>
      <c r="AH149" s="39" t="s">
        <v>293</v>
      </c>
      <c r="AI149" s="42" t="s">
        <v>1682</v>
      </c>
      <c r="AJ149" s="42" t="s">
        <v>1683</v>
      </c>
    </row>
    <row r="150" ht="15.75" customHeight="1">
      <c r="A150" s="40">
        <v>149.0</v>
      </c>
      <c r="B150" s="39" t="s">
        <v>1684</v>
      </c>
      <c r="C150" s="39" t="s">
        <v>186</v>
      </c>
      <c r="D150" s="39" t="s">
        <v>1685</v>
      </c>
      <c r="E150" s="39" t="s">
        <v>186</v>
      </c>
      <c r="F150" s="39" t="s">
        <v>427</v>
      </c>
      <c r="G150" s="39" t="s">
        <v>1686</v>
      </c>
      <c r="H150" s="39" t="s">
        <v>1687</v>
      </c>
      <c r="I150" s="39"/>
      <c r="J150" s="39" t="s">
        <v>1688</v>
      </c>
      <c r="K150" s="40">
        <v>4308.0</v>
      </c>
      <c r="L150" s="39" t="s">
        <v>1689</v>
      </c>
      <c r="M150" s="39" t="s">
        <v>208</v>
      </c>
      <c r="N150" s="39" t="s">
        <v>209</v>
      </c>
      <c r="O150" s="39" t="s">
        <v>135</v>
      </c>
      <c r="P150" s="39" t="s">
        <v>136</v>
      </c>
      <c r="Q150" s="40">
        <v>94105.0</v>
      </c>
      <c r="R150" s="39" t="s">
        <v>137</v>
      </c>
      <c r="S150" s="39" t="s">
        <v>19</v>
      </c>
      <c r="T150" s="39" t="s">
        <v>138</v>
      </c>
      <c r="U150" s="39" t="s">
        <v>72</v>
      </c>
      <c r="V150" s="39" t="s">
        <v>139</v>
      </c>
      <c r="W150" s="41">
        <v>45861.0</v>
      </c>
      <c r="X150" s="40">
        <v>108.0</v>
      </c>
      <c r="Y150" s="39" t="s">
        <v>1690</v>
      </c>
      <c r="Z150" s="41">
        <v>35353.0</v>
      </c>
      <c r="AA150" s="39" t="s">
        <v>141</v>
      </c>
      <c r="AB150" s="39" t="s">
        <v>180</v>
      </c>
      <c r="AC150" s="39" t="s">
        <v>181</v>
      </c>
      <c r="AD150" s="40">
        <v>139000.0</v>
      </c>
      <c r="AE150" s="40">
        <v>139000.0</v>
      </c>
      <c r="AF150" s="39" t="s">
        <v>144</v>
      </c>
      <c r="AG150" s="39" t="s">
        <v>145</v>
      </c>
      <c r="AH150" s="39" t="s">
        <v>293</v>
      </c>
      <c r="AI150" s="42" t="s">
        <v>1691</v>
      </c>
      <c r="AJ150" s="42" t="s">
        <v>1692</v>
      </c>
    </row>
    <row r="151" ht="15.75" customHeight="1">
      <c r="A151" s="40">
        <v>150.0</v>
      </c>
      <c r="B151" s="39" t="s">
        <v>1693</v>
      </c>
      <c r="C151" s="39" t="s">
        <v>1694</v>
      </c>
      <c r="D151" s="39" t="s">
        <v>1695</v>
      </c>
      <c r="E151" s="39" t="s">
        <v>1694</v>
      </c>
      <c r="F151" s="39" t="s">
        <v>203</v>
      </c>
      <c r="G151" s="39" t="s">
        <v>1696</v>
      </c>
      <c r="H151" s="39" t="s">
        <v>1697</v>
      </c>
      <c r="I151" s="39"/>
      <c r="J151" s="39" t="s">
        <v>1698</v>
      </c>
      <c r="K151" s="40">
        <v>8648.0</v>
      </c>
      <c r="L151" s="39" t="s">
        <v>1699</v>
      </c>
      <c r="M151" s="39" t="s">
        <v>133</v>
      </c>
      <c r="N151" s="39" t="s">
        <v>134</v>
      </c>
      <c r="O151" s="39" t="s">
        <v>135</v>
      </c>
      <c r="P151" s="39" t="s">
        <v>136</v>
      </c>
      <c r="Q151" s="40">
        <v>94108.0</v>
      </c>
      <c r="R151" s="39" t="s">
        <v>137</v>
      </c>
      <c r="S151" s="39" t="s">
        <v>19</v>
      </c>
      <c r="T151" s="39" t="s">
        <v>160</v>
      </c>
      <c r="U151" s="39" t="s">
        <v>70</v>
      </c>
      <c r="V151" s="39" t="s">
        <v>139</v>
      </c>
      <c r="W151" s="41">
        <v>45340.0</v>
      </c>
      <c r="X151" s="40">
        <v>140.0</v>
      </c>
      <c r="Y151" s="39" t="s">
        <v>1700</v>
      </c>
      <c r="Z151" s="41">
        <v>37334.0</v>
      </c>
      <c r="AA151" s="39" t="s">
        <v>163</v>
      </c>
      <c r="AB151" s="39" t="s">
        <v>142</v>
      </c>
      <c r="AC151" s="39" t="s">
        <v>211</v>
      </c>
      <c r="AD151" s="40">
        <v>168000.0</v>
      </c>
      <c r="AE151" s="40">
        <v>168000.0</v>
      </c>
      <c r="AF151" s="39" t="s">
        <v>144</v>
      </c>
      <c r="AG151" s="39" t="s">
        <v>145</v>
      </c>
      <c r="AH151" s="39" t="s">
        <v>146</v>
      </c>
      <c r="AI151" s="42" t="s">
        <v>1701</v>
      </c>
      <c r="AJ151" s="42" t="s">
        <v>1702</v>
      </c>
    </row>
    <row r="152" ht="15.75" customHeight="1">
      <c r="A152" s="40">
        <v>151.0</v>
      </c>
      <c r="B152" s="39" t="s">
        <v>1703</v>
      </c>
      <c r="C152" s="39" t="s">
        <v>1704</v>
      </c>
      <c r="D152" s="39" t="s">
        <v>1705</v>
      </c>
      <c r="E152" s="39" t="s">
        <v>1704</v>
      </c>
      <c r="F152" s="39" t="s">
        <v>217</v>
      </c>
      <c r="G152" s="39" t="s">
        <v>1706</v>
      </c>
      <c r="H152" s="39" t="s">
        <v>1707</v>
      </c>
      <c r="I152" s="39"/>
      <c r="J152" s="39" t="s">
        <v>1708</v>
      </c>
      <c r="K152" s="40">
        <v>6947.0</v>
      </c>
      <c r="L152" s="39" t="s">
        <v>1709</v>
      </c>
      <c r="M152" s="39" t="s">
        <v>903</v>
      </c>
      <c r="N152" s="39"/>
      <c r="O152" s="39" t="s">
        <v>174</v>
      </c>
      <c r="P152" s="39" t="s">
        <v>175</v>
      </c>
      <c r="Q152" s="39" t="s">
        <v>904</v>
      </c>
      <c r="R152" s="39" t="s">
        <v>177</v>
      </c>
      <c r="S152" s="39" t="s">
        <v>19</v>
      </c>
      <c r="T152" s="39" t="s">
        <v>160</v>
      </c>
      <c r="U152" s="39" t="s">
        <v>69</v>
      </c>
      <c r="V152" s="39" t="s">
        <v>178</v>
      </c>
      <c r="W152" s="41">
        <v>45403.0</v>
      </c>
      <c r="X152" s="40">
        <v>238.0</v>
      </c>
      <c r="Y152" s="39" t="s">
        <v>1710</v>
      </c>
      <c r="Z152" s="41">
        <v>31276.0</v>
      </c>
      <c r="AA152" s="39" t="s">
        <v>163</v>
      </c>
      <c r="AB152" s="39" t="s">
        <v>142</v>
      </c>
      <c r="AC152" s="39" t="s">
        <v>197</v>
      </c>
      <c r="AD152" s="40">
        <v>162000.0</v>
      </c>
      <c r="AE152" s="40">
        <v>162000.0</v>
      </c>
      <c r="AF152" s="39" t="s">
        <v>144</v>
      </c>
      <c r="AG152" s="39" t="s">
        <v>145</v>
      </c>
      <c r="AH152" s="39" t="s">
        <v>264</v>
      </c>
      <c r="AI152" s="42" t="s">
        <v>1711</v>
      </c>
      <c r="AJ152" s="42" t="s">
        <v>1712</v>
      </c>
    </row>
    <row r="153" ht="15.75" customHeight="1">
      <c r="A153" s="40">
        <v>152.0</v>
      </c>
      <c r="B153" s="39" t="s">
        <v>1713</v>
      </c>
      <c r="C153" s="39" t="s">
        <v>1357</v>
      </c>
      <c r="D153" s="39" t="s">
        <v>1714</v>
      </c>
      <c r="E153" s="39" t="s">
        <v>1357</v>
      </c>
      <c r="F153" s="39" t="s">
        <v>374</v>
      </c>
      <c r="G153" s="39" t="s">
        <v>1715</v>
      </c>
      <c r="H153" s="39" t="s">
        <v>1716</v>
      </c>
      <c r="I153" s="39"/>
      <c r="J153" s="39" t="s">
        <v>1717</v>
      </c>
      <c r="K153" s="40">
        <v>5473.0</v>
      </c>
      <c r="L153" s="39" t="s">
        <v>1718</v>
      </c>
      <c r="M153" s="39" t="s">
        <v>208</v>
      </c>
      <c r="N153" s="39" t="s">
        <v>209</v>
      </c>
      <c r="O153" s="39" t="s">
        <v>135</v>
      </c>
      <c r="P153" s="39" t="s">
        <v>136</v>
      </c>
      <c r="Q153" s="40">
        <v>94105.0</v>
      </c>
      <c r="R153" s="39" t="s">
        <v>137</v>
      </c>
      <c r="S153" s="39" t="s">
        <v>18</v>
      </c>
      <c r="T153" s="39" t="s">
        <v>593</v>
      </c>
      <c r="U153" s="39" t="s">
        <v>62</v>
      </c>
      <c r="V153" s="39" t="s">
        <v>139</v>
      </c>
      <c r="W153" s="41">
        <v>45622.0</v>
      </c>
      <c r="X153" s="40">
        <v>230.0</v>
      </c>
      <c r="Y153" s="39" t="s">
        <v>1719</v>
      </c>
      <c r="Z153" s="41">
        <v>31412.0</v>
      </c>
      <c r="AA153" s="39" t="s">
        <v>279</v>
      </c>
      <c r="AB153" s="39" t="s">
        <v>142</v>
      </c>
      <c r="AC153" s="39" t="s">
        <v>143</v>
      </c>
      <c r="AD153" s="40">
        <v>318000.0</v>
      </c>
      <c r="AE153" s="40">
        <v>318000.0</v>
      </c>
      <c r="AF153" s="39" t="s">
        <v>144</v>
      </c>
      <c r="AG153" s="39" t="s">
        <v>145</v>
      </c>
      <c r="AH153" s="39" t="s">
        <v>146</v>
      </c>
      <c r="AI153" s="42" t="s">
        <v>1720</v>
      </c>
      <c r="AJ153" s="42" t="s">
        <v>1721</v>
      </c>
    </row>
    <row r="154" ht="15.75" customHeight="1">
      <c r="A154" s="40">
        <v>153.0</v>
      </c>
      <c r="B154" s="39" t="s">
        <v>1722</v>
      </c>
      <c r="C154" s="39" t="s">
        <v>1723</v>
      </c>
      <c r="D154" s="39" t="s">
        <v>1724</v>
      </c>
      <c r="E154" s="39" t="s">
        <v>1723</v>
      </c>
      <c r="F154" s="39" t="s">
        <v>270</v>
      </c>
      <c r="G154" s="39" t="s">
        <v>1725</v>
      </c>
      <c r="H154" s="39" t="s">
        <v>1726</v>
      </c>
      <c r="I154" s="39"/>
      <c r="J154" s="39" t="s">
        <v>1727</v>
      </c>
      <c r="K154" s="40">
        <v>7922.0</v>
      </c>
      <c r="L154" s="39" t="s">
        <v>1728</v>
      </c>
      <c r="M154" s="39" t="s">
        <v>247</v>
      </c>
      <c r="N154" s="39" t="s">
        <v>248</v>
      </c>
      <c r="O154" s="39" t="s">
        <v>135</v>
      </c>
      <c r="P154" s="39" t="s">
        <v>136</v>
      </c>
      <c r="Q154" s="40">
        <v>94103.0</v>
      </c>
      <c r="R154" s="39" t="s">
        <v>137</v>
      </c>
      <c r="S154" s="39" t="s">
        <v>18</v>
      </c>
      <c r="T154" s="39" t="s">
        <v>593</v>
      </c>
      <c r="U154" s="39" t="s">
        <v>58</v>
      </c>
      <c r="V154" s="39" t="s">
        <v>139</v>
      </c>
      <c r="W154" s="41">
        <v>45170.0</v>
      </c>
      <c r="X154" s="40">
        <v>68.0</v>
      </c>
      <c r="Y154" s="39" t="s">
        <v>1729</v>
      </c>
      <c r="Z154" s="41">
        <v>32211.0</v>
      </c>
      <c r="AA154" s="39" t="s">
        <v>141</v>
      </c>
      <c r="AB154" s="39" t="s">
        <v>180</v>
      </c>
      <c r="AC154" s="39" t="s">
        <v>197</v>
      </c>
      <c r="AD154" s="40">
        <v>83000.0</v>
      </c>
      <c r="AE154" s="40">
        <v>83000.0</v>
      </c>
      <c r="AF154" s="39" t="s">
        <v>144</v>
      </c>
      <c r="AG154" s="39" t="s">
        <v>145</v>
      </c>
      <c r="AH154" s="39" t="s">
        <v>264</v>
      </c>
      <c r="AI154" s="42" t="s">
        <v>1730</v>
      </c>
      <c r="AJ154" s="42" t="s">
        <v>1731</v>
      </c>
    </row>
    <row r="155" ht="15.75" customHeight="1">
      <c r="A155" s="40">
        <v>154.0</v>
      </c>
      <c r="B155" s="39" t="s">
        <v>1732</v>
      </c>
      <c r="C155" s="39" t="s">
        <v>1733</v>
      </c>
      <c r="D155" s="39" t="s">
        <v>1734</v>
      </c>
      <c r="E155" s="39" t="s">
        <v>1733</v>
      </c>
      <c r="F155" s="39" t="s">
        <v>255</v>
      </c>
      <c r="G155" s="39" t="s">
        <v>1735</v>
      </c>
      <c r="H155" s="39" t="s">
        <v>1736</v>
      </c>
      <c r="I155" s="39"/>
      <c r="J155" s="39" t="s">
        <v>1737</v>
      </c>
      <c r="K155" s="40">
        <v>1854.0</v>
      </c>
      <c r="L155" s="39" t="s">
        <v>1738</v>
      </c>
      <c r="M155" s="39" t="s">
        <v>839</v>
      </c>
      <c r="N155" s="39" t="s">
        <v>840</v>
      </c>
      <c r="O155" s="39" t="s">
        <v>841</v>
      </c>
      <c r="P155" s="39" t="s">
        <v>842</v>
      </c>
      <c r="Q155" s="40">
        <v>30309.0</v>
      </c>
      <c r="R155" s="39" t="s">
        <v>137</v>
      </c>
      <c r="S155" s="39" t="s">
        <v>17</v>
      </c>
      <c r="T155" s="39" t="s">
        <v>17</v>
      </c>
      <c r="U155" s="39" t="s">
        <v>51</v>
      </c>
      <c r="V155" s="39" t="s">
        <v>161</v>
      </c>
      <c r="W155" s="41">
        <v>45810.0</v>
      </c>
      <c r="X155" s="40">
        <v>36.0</v>
      </c>
      <c r="Y155" s="39" t="s">
        <v>1739</v>
      </c>
      <c r="Z155" s="41">
        <v>35502.0</v>
      </c>
      <c r="AA155" s="39" t="s">
        <v>141</v>
      </c>
      <c r="AB155" s="39" t="s">
        <v>180</v>
      </c>
      <c r="AC155" s="39" t="s">
        <v>181</v>
      </c>
      <c r="AD155" s="40">
        <v>183000.0</v>
      </c>
      <c r="AE155" s="40">
        <v>183000.0</v>
      </c>
      <c r="AF155" s="39" t="s">
        <v>144</v>
      </c>
      <c r="AG155" s="39" t="s">
        <v>145</v>
      </c>
      <c r="AH155" s="39" t="s">
        <v>264</v>
      </c>
      <c r="AI155" s="42" t="s">
        <v>1740</v>
      </c>
      <c r="AJ155" s="42" t="s">
        <v>1741</v>
      </c>
    </row>
    <row r="156" ht="15.75" customHeight="1">
      <c r="A156" s="40">
        <v>155.0</v>
      </c>
      <c r="B156" s="39" t="s">
        <v>1742</v>
      </c>
      <c r="C156" s="39" t="s">
        <v>1743</v>
      </c>
      <c r="D156" s="39" t="s">
        <v>1744</v>
      </c>
      <c r="E156" s="39" t="s">
        <v>1743</v>
      </c>
      <c r="F156" s="39" t="s">
        <v>152</v>
      </c>
      <c r="G156" s="39" t="s">
        <v>1745</v>
      </c>
      <c r="H156" s="39" t="s">
        <v>1746</v>
      </c>
      <c r="I156" s="39"/>
      <c r="J156" s="39" t="s">
        <v>1747</v>
      </c>
      <c r="K156" s="40">
        <v>5059.0</v>
      </c>
      <c r="L156" s="39" t="s">
        <v>1748</v>
      </c>
      <c r="M156" s="39" t="s">
        <v>903</v>
      </c>
      <c r="N156" s="39"/>
      <c r="O156" s="39" t="s">
        <v>174</v>
      </c>
      <c r="P156" s="39" t="s">
        <v>175</v>
      </c>
      <c r="Q156" s="39" t="s">
        <v>904</v>
      </c>
      <c r="R156" s="39" t="s">
        <v>177</v>
      </c>
      <c r="S156" s="39" t="s">
        <v>17</v>
      </c>
      <c r="T156" s="39" t="s">
        <v>17</v>
      </c>
      <c r="U156" s="39" t="s">
        <v>50</v>
      </c>
      <c r="V156" s="39" t="s">
        <v>178</v>
      </c>
      <c r="W156" s="41">
        <v>45145.0</v>
      </c>
      <c r="X156" s="40">
        <v>214.0</v>
      </c>
      <c r="Y156" s="39" t="s">
        <v>1749</v>
      </c>
      <c r="Z156" s="41">
        <v>33368.0</v>
      </c>
      <c r="AA156" s="39" t="s">
        <v>163</v>
      </c>
      <c r="AB156" s="39" t="s">
        <v>180</v>
      </c>
      <c r="AC156" s="39" t="s">
        <v>197</v>
      </c>
      <c r="AD156" s="40">
        <v>78000.0</v>
      </c>
      <c r="AE156" s="40">
        <v>78000.0</v>
      </c>
      <c r="AF156" s="39" t="s">
        <v>144</v>
      </c>
      <c r="AG156" s="39" t="s">
        <v>145</v>
      </c>
      <c r="AH156" s="39" t="s">
        <v>146</v>
      </c>
      <c r="AI156" s="42" t="s">
        <v>1750</v>
      </c>
      <c r="AJ156" s="42" t="s">
        <v>1751</v>
      </c>
    </row>
    <row r="157" ht="15.75" customHeight="1">
      <c r="A157" s="40">
        <v>156.0</v>
      </c>
      <c r="B157" s="39" t="s">
        <v>1752</v>
      </c>
      <c r="C157" s="39" t="s">
        <v>1753</v>
      </c>
      <c r="D157" s="39" t="s">
        <v>1754</v>
      </c>
      <c r="E157" s="39" t="s">
        <v>1753</v>
      </c>
      <c r="F157" s="39" t="s">
        <v>255</v>
      </c>
      <c r="G157" s="39" t="s">
        <v>1755</v>
      </c>
      <c r="H157" s="39" t="s">
        <v>1756</v>
      </c>
      <c r="I157" s="39"/>
      <c r="J157" s="39" t="s">
        <v>1757</v>
      </c>
      <c r="K157" s="40">
        <v>5990.0</v>
      </c>
      <c r="L157" s="39" t="s">
        <v>1758</v>
      </c>
      <c r="M157" s="39" t="s">
        <v>157</v>
      </c>
      <c r="N157" s="39"/>
      <c r="O157" s="39" t="s">
        <v>158</v>
      </c>
      <c r="P157" s="39" t="s">
        <v>159</v>
      </c>
      <c r="Q157" s="40">
        <v>80202.0</v>
      </c>
      <c r="R157" s="39" t="s">
        <v>137</v>
      </c>
      <c r="S157" s="39" t="s">
        <v>17</v>
      </c>
      <c r="T157" s="39" t="s">
        <v>17</v>
      </c>
      <c r="U157" s="39" t="s">
        <v>49</v>
      </c>
      <c r="V157" s="39" t="s">
        <v>161</v>
      </c>
      <c r="W157" s="41">
        <v>45942.0</v>
      </c>
      <c r="X157" s="40">
        <v>242.0</v>
      </c>
      <c r="Y157" s="39" t="s">
        <v>1759</v>
      </c>
      <c r="Z157" s="41">
        <v>32990.0</v>
      </c>
      <c r="AA157" s="39" t="s">
        <v>163</v>
      </c>
      <c r="AB157" s="39" t="s">
        <v>180</v>
      </c>
      <c r="AC157" s="39" t="s">
        <v>181</v>
      </c>
      <c r="AD157" s="40">
        <v>115000.0</v>
      </c>
      <c r="AE157" s="40">
        <v>115000.0</v>
      </c>
      <c r="AF157" s="39" t="s">
        <v>144</v>
      </c>
      <c r="AG157" s="39" t="s">
        <v>145</v>
      </c>
      <c r="AH157" s="39" t="s">
        <v>293</v>
      </c>
      <c r="AI157" s="42" t="s">
        <v>1760</v>
      </c>
      <c r="AJ157" s="42" t="s">
        <v>1761</v>
      </c>
    </row>
    <row r="158" ht="15.75" customHeight="1">
      <c r="A158" s="40">
        <v>157.0</v>
      </c>
      <c r="B158" s="39" t="s">
        <v>1762</v>
      </c>
      <c r="C158" s="39" t="s">
        <v>1763</v>
      </c>
      <c r="D158" s="39" t="s">
        <v>1764</v>
      </c>
      <c r="E158" s="39" t="s">
        <v>1763</v>
      </c>
      <c r="F158" s="39" t="s">
        <v>427</v>
      </c>
      <c r="G158" s="39" t="s">
        <v>1765</v>
      </c>
      <c r="H158" s="39" t="s">
        <v>1766</v>
      </c>
      <c r="I158" s="39"/>
      <c r="J158" s="39" t="s">
        <v>1767</v>
      </c>
      <c r="K158" s="40">
        <v>2573.0</v>
      </c>
      <c r="L158" s="39" t="s">
        <v>1768</v>
      </c>
      <c r="M158" s="39" t="s">
        <v>379</v>
      </c>
      <c r="N158" s="39" t="s">
        <v>380</v>
      </c>
      <c r="O158" s="39" t="s">
        <v>193</v>
      </c>
      <c r="P158" s="39" t="s">
        <v>194</v>
      </c>
      <c r="Q158" s="40">
        <v>10036.0</v>
      </c>
      <c r="R158" s="39" t="s">
        <v>137</v>
      </c>
      <c r="S158" s="39" t="s">
        <v>16</v>
      </c>
      <c r="T158" s="39" t="s">
        <v>16</v>
      </c>
      <c r="U158" s="39" t="s">
        <v>81</v>
      </c>
      <c r="V158" s="39" t="s">
        <v>195</v>
      </c>
      <c r="W158" s="41">
        <v>45775.0</v>
      </c>
      <c r="X158" s="40">
        <v>233.0</v>
      </c>
      <c r="Y158" s="39" t="s">
        <v>1769</v>
      </c>
      <c r="Z158" s="41">
        <v>34757.0</v>
      </c>
      <c r="AA158" s="39" t="s">
        <v>163</v>
      </c>
      <c r="AB158" s="39" t="s">
        <v>142</v>
      </c>
      <c r="AC158" s="39" t="s">
        <v>181</v>
      </c>
      <c r="AD158" s="40">
        <v>177000.0</v>
      </c>
      <c r="AE158" s="40">
        <v>177000.0</v>
      </c>
      <c r="AF158" s="39" t="s">
        <v>144</v>
      </c>
      <c r="AG158" s="39" t="s">
        <v>145</v>
      </c>
      <c r="AH158" s="39" t="s">
        <v>146</v>
      </c>
      <c r="AI158" s="42" t="s">
        <v>1770</v>
      </c>
      <c r="AJ158" s="42" t="s">
        <v>1771</v>
      </c>
    </row>
    <row r="159" ht="15.75" customHeight="1">
      <c r="A159" s="40">
        <v>158.0</v>
      </c>
      <c r="B159" s="39" t="s">
        <v>1772</v>
      </c>
      <c r="C159" s="39" t="s">
        <v>1773</v>
      </c>
      <c r="D159" s="39" t="s">
        <v>1774</v>
      </c>
      <c r="E159" s="39" t="s">
        <v>1773</v>
      </c>
      <c r="F159" s="39" t="s">
        <v>186</v>
      </c>
      <c r="G159" s="39" t="s">
        <v>1775</v>
      </c>
      <c r="H159" s="39" t="s">
        <v>1776</v>
      </c>
      <c r="I159" s="39"/>
      <c r="J159" s="39" t="s">
        <v>1777</v>
      </c>
      <c r="K159" s="40">
        <v>101.0</v>
      </c>
      <c r="L159" s="39" t="s">
        <v>1778</v>
      </c>
      <c r="M159" s="39" t="s">
        <v>208</v>
      </c>
      <c r="N159" s="39" t="s">
        <v>209</v>
      </c>
      <c r="O159" s="39" t="s">
        <v>135</v>
      </c>
      <c r="P159" s="39" t="s">
        <v>136</v>
      </c>
      <c r="Q159" s="40">
        <v>94105.0</v>
      </c>
      <c r="R159" s="39" t="s">
        <v>137</v>
      </c>
      <c r="S159" s="39" t="s">
        <v>16</v>
      </c>
      <c r="T159" s="39" t="s">
        <v>16</v>
      </c>
      <c r="U159" s="39" t="s">
        <v>84</v>
      </c>
      <c r="V159" s="39" t="s">
        <v>139</v>
      </c>
      <c r="W159" s="41">
        <v>45460.0</v>
      </c>
      <c r="X159" s="40">
        <v>239.0</v>
      </c>
      <c r="Y159" s="39" t="s">
        <v>1779</v>
      </c>
      <c r="Z159" s="41">
        <v>26545.0</v>
      </c>
      <c r="AA159" s="39" t="s">
        <v>163</v>
      </c>
      <c r="AB159" s="39" t="s">
        <v>142</v>
      </c>
      <c r="AC159" s="39" t="s">
        <v>197</v>
      </c>
      <c r="AD159" s="40">
        <v>232000.0</v>
      </c>
      <c r="AE159" s="40">
        <v>232000.0</v>
      </c>
      <c r="AF159" s="39" t="s">
        <v>144</v>
      </c>
      <c r="AG159" s="39" t="s">
        <v>145</v>
      </c>
      <c r="AH159" s="39" t="s">
        <v>293</v>
      </c>
      <c r="AI159" s="42" t="s">
        <v>1780</v>
      </c>
      <c r="AJ159" s="42" t="s">
        <v>1781</v>
      </c>
    </row>
    <row r="160" ht="15.75" customHeight="1">
      <c r="A160" s="40">
        <v>159.0</v>
      </c>
      <c r="B160" s="39" t="s">
        <v>1782</v>
      </c>
      <c r="C160" s="39" t="s">
        <v>1783</v>
      </c>
      <c r="D160" s="39" t="s">
        <v>1784</v>
      </c>
      <c r="E160" s="39" t="s">
        <v>1783</v>
      </c>
      <c r="F160" s="39" t="s">
        <v>270</v>
      </c>
      <c r="G160" s="39" t="s">
        <v>1785</v>
      </c>
      <c r="H160" s="39" t="s">
        <v>1786</v>
      </c>
      <c r="I160" s="39"/>
      <c r="J160" s="39" t="s">
        <v>1787</v>
      </c>
      <c r="K160" s="40">
        <v>871.0</v>
      </c>
      <c r="L160" s="39" t="s">
        <v>1788</v>
      </c>
      <c r="M160" s="39" t="s">
        <v>289</v>
      </c>
      <c r="N160" s="39"/>
      <c r="O160" s="39" t="s">
        <v>174</v>
      </c>
      <c r="P160" s="39" t="s">
        <v>175</v>
      </c>
      <c r="Q160" s="39" t="s">
        <v>290</v>
      </c>
      <c r="R160" s="39" t="s">
        <v>177</v>
      </c>
      <c r="S160" s="39" t="s">
        <v>16</v>
      </c>
      <c r="T160" s="39" t="s">
        <v>16</v>
      </c>
      <c r="U160" s="39" t="s">
        <v>84</v>
      </c>
      <c r="V160" s="39" t="s">
        <v>178</v>
      </c>
      <c r="W160" s="41">
        <v>44696.0</v>
      </c>
      <c r="X160" s="40">
        <v>239.0</v>
      </c>
      <c r="Y160" s="39" t="s">
        <v>1789</v>
      </c>
      <c r="Z160" s="41">
        <v>27475.0</v>
      </c>
      <c r="AA160" s="39" t="s">
        <v>163</v>
      </c>
      <c r="AB160" s="39" t="s">
        <v>142</v>
      </c>
      <c r="AC160" s="39" t="s">
        <v>181</v>
      </c>
      <c r="AD160" s="40">
        <v>250000.0</v>
      </c>
      <c r="AE160" s="40">
        <v>250000.0</v>
      </c>
      <c r="AF160" s="39" t="s">
        <v>144</v>
      </c>
      <c r="AG160" s="39" t="s">
        <v>145</v>
      </c>
      <c r="AH160" s="39" t="s">
        <v>146</v>
      </c>
      <c r="AI160" s="42" t="s">
        <v>1790</v>
      </c>
      <c r="AJ160" s="42" t="s">
        <v>1791</v>
      </c>
    </row>
    <row r="161" ht="15.75" customHeight="1">
      <c r="A161" s="40">
        <v>160.0</v>
      </c>
      <c r="B161" s="39" t="s">
        <v>1792</v>
      </c>
      <c r="C161" s="39" t="s">
        <v>1793</v>
      </c>
      <c r="D161" s="39" t="s">
        <v>1794</v>
      </c>
      <c r="E161" s="39" t="s">
        <v>1793</v>
      </c>
      <c r="F161" s="39" t="s">
        <v>186</v>
      </c>
      <c r="G161" s="39" t="s">
        <v>1795</v>
      </c>
      <c r="H161" s="39" t="s">
        <v>1796</v>
      </c>
      <c r="I161" s="39"/>
      <c r="J161" s="39" t="s">
        <v>1797</v>
      </c>
      <c r="K161" s="40">
        <v>6628.0</v>
      </c>
      <c r="L161" s="39" t="s">
        <v>1798</v>
      </c>
      <c r="M161" s="39" t="s">
        <v>133</v>
      </c>
      <c r="N161" s="39" t="s">
        <v>134</v>
      </c>
      <c r="O161" s="39" t="s">
        <v>135</v>
      </c>
      <c r="P161" s="39" t="s">
        <v>136</v>
      </c>
      <c r="Q161" s="40">
        <v>94108.0</v>
      </c>
      <c r="R161" s="39" t="s">
        <v>137</v>
      </c>
      <c r="S161" s="39" t="s">
        <v>16</v>
      </c>
      <c r="T161" s="39" t="s">
        <v>16</v>
      </c>
      <c r="U161" s="39" t="s">
        <v>81</v>
      </c>
      <c r="V161" s="39" t="s">
        <v>139</v>
      </c>
      <c r="W161" s="41">
        <v>44881.0</v>
      </c>
      <c r="X161" s="40">
        <v>104.0</v>
      </c>
      <c r="Y161" s="39" t="s">
        <v>1799</v>
      </c>
      <c r="Z161" s="41">
        <v>37397.0</v>
      </c>
      <c r="AA161" s="39" t="s">
        <v>163</v>
      </c>
      <c r="AB161" s="39" t="s">
        <v>180</v>
      </c>
      <c r="AC161" s="39" t="s">
        <v>181</v>
      </c>
      <c r="AD161" s="40">
        <v>98000.0</v>
      </c>
      <c r="AE161" s="40">
        <v>98000.0</v>
      </c>
      <c r="AF161" s="39" t="s">
        <v>144</v>
      </c>
      <c r="AG161" s="39" t="s">
        <v>145</v>
      </c>
      <c r="AH161" s="39" t="s">
        <v>293</v>
      </c>
      <c r="AI161" s="42" t="s">
        <v>1800</v>
      </c>
      <c r="AJ161" s="42" t="s">
        <v>1801</v>
      </c>
    </row>
    <row r="162" ht="15.75" customHeight="1">
      <c r="A162" s="40">
        <v>161.0</v>
      </c>
      <c r="B162" s="39" t="s">
        <v>1802</v>
      </c>
      <c r="C162" s="39" t="s">
        <v>1803</v>
      </c>
      <c r="D162" s="39" t="s">
        <v>1804</v>
      </c>
      <c r="E162" s="39" t="s">
        <v>1803</v>
      </c>
      <c r="F162" s="39" t="s">
        <v>217</v>
      </c>
      <c r="G162" s="39" t="s">
        <v>1805</v>
      </c>
      <c r="H162" s="39" t="s">
        <v>1806</v>
      </c>
      <c r="I162" s="39"/>
      <c r="J162" s="39" t="s">
        <v>1807</v>
      </c>
      <c r="K162" s="40">
        <v>7271.0</v>
      </c>
      <c r="L162" s="39" t="s">
        <v>1808</v>
      </c>
      <c r="M162" s="39" t="s">
        <v>314</v>
      </c>
      <c r="N162" s="39" t="s">
        <v>315</v>
      </c>
      <c r="O162" s="39" t="s">
        <v>193</v>
      </c>
      <c r="P162" s="39" t="s">
        <v>194</v>
      </c>
      <c r="Q162" s="40">
        <v>10007.0</v>
      </c>
      <c r="R162" s="39" t="s">
        <v>137</v>
      </c>
      <c r="S162" s="39" t="s">
        <v>19</v>
      </c>
      <c r="T162" s="39" t="s">
        <v>236</v>
      </c>
      <c r="U162" s="39" t="s">
        <v>69</v>
      </c>
      <c r="V162" s="39" t="s">
        <v>195</v>
      </c>
      <c r="W162" s="41">
        <v>45764.0</v>
      </c>
      <c r="X162" s="40">
        <v>237.0</v>
      </c>
      <c r="Y162" s="39" t="s">
        <v>1809</v>
      </c>
      <c r="Z162" s="41">
        <v>33611.0</v>
      </c>
      <c r="AA162" s="39" t="s">
        <v>263</v>
      </c>
      <c r="AB162" s="39" t="s">
        <v>180</v>
      </c>
      <c r="AC162" s="39" t="s">
        <v>279</v>
      </c>
      <c r="AD162" s="40">
        <v>206000.0</v>
      </c>
      <c r="AE162" s="40">
        <v>206000.0</v>
      </c>
      <c r="AF162" s="39" t="s">
        <v>144</v>
      </c>
      <c r="AG162" s="39" t="s">
        <v>145</v>
      </c>
      <c r="AH162" s="39" t="s">
        <v>293</v>
      </c>
      <c r="AI162" s="42" t="s">
        <v>1810</v>
      </c>
      <c r="AJ162" s="42" t="s">
        <v>1811</v>
      </c>
    </row>
    <row r="163" ht="15.75" customHeight="1">
      <c r="A163" s="40">
        <v>162.0</v>
      </c>
      <c r="B163" s="39" t="s">
        <v>1812</v>
      </c>
      <c r="C163" s="39" t="s">
        <v>1813</v>
      </c>
      <c r="D163" s="39" t="s">
        <v>1814</v>
      </c>
      <c r="E163" s="39" t="s">
        <v>1813</v>
      </c>
      <c r="F163" s="39" t="s">
        <v>217</v>
      </c>
      <c r="G163" s="39" t="s">
        <v>1815</v>
      </c>
      <c r="H163" s="39" t="s">
        <v>1816</v>
      </c>
      <c r="I163" s="39"/>
      <c r="J163" s="39" t="s">
        <v>1817</v>
      </c>
      <c r="K163" s="40">
        <v>2336.0</v>
      </c>
      <c r="L163" s="39" t="s">
        <v>1818</v>
      </c>
      <c r="M163" s="39" t="s">
        <v>346</v>
      </c>
      <c r="N163" s="39"/>
      <c r="O163" s="39" t="s">
        <v>174</v>
      </c>
      <c r="P163" s="39" t="s">
        <v>175</v>
      </c>
      <c r="Q163" s="39" t="s">
        <v>347</v>
      </c>
      <c r="R163" s="39" t="s">
        <v>177</v>
      </c>
      <c r="S163" s="39" t="s">
        <v>19</v>
      </c>
      <c r="T163" s="39" t="s">
        <v>160</v>
      </c>
      <c r="U163" s="39" t="s">
        <v>71</v>
      </c>
      <c r="V163" s="39" t="s">
        <v>178</v>
      </c>
      <c r="W163" s="41">
        <v>45611.0</v>
      </c>
      <c r="X163" s="40">
        <v>100.0</v>
      </c>
      <c r="Y163" s="39" t="s">
        <v>1819</v>
      </c>
      <c r="Z163" s="41">
        <v>32826.0</v>
      </c>
      <c r="AA163" s="39" t="s">
        <v>141</v>
      </c>
      <c r="AB163" s="39" t="s">
        <v>304</v>
      </c>
      <c r="AC163" s="39" t="s">
        <v>181</v>
      </c>
      <c r="AD163" s="40">
        <v>141000.0</v>
      </c>
      <c r="AE163" s="40">
        <v>141000.0</v>
      </c>
      <c r="AF163" s="39" t="s">
        <v>144</v>
      </c>
      <c r="AG163" s="39" t="s">
        <v>145</v>
      </c>
      <c r="AH163" s="39" t="s">
        <v>146</v>
      </c>
      <c r="AI163" s="42" t="s">
        <v>1820</v>
      </c>
      <c r="AJ163" s="42" t="s">
        <v>1821</v>
      </c>
    </row>
    <row r="164" ht="15.75" customHeight="1">
      <c r="A164" s="40">
        <v>163.0</v>
      </c>
      <c r="B164" s="39" t="s">
        <v>1822</v>
      </c>
      <c r="C164" s="39" t="s">
        <v>1823</v>
      </c>
      <c r="D164" s="39" t="s">
        <v>1824</v>
      </c>
      <c r="E164" s="39" t="s">
        <v>1823</v>
      </c>
      <c r="F164" s="39" t="s">
        <v>128</v>
      </c>
      <c r="G164" s="39" t="s">
        <v>1825</v>
      </c>
      <c r="H164" s="39" t="s">
        <v>1826</v>
      </c>
      <c r="I164" s="39"/>
      <c r="J164" s="39" t="s">
        <v>1827</v>
      </c>
      <c r="K164" s="40">
        <v>3849.0</v>
      </c>
      <c r="L164" s="39" t="s">
        <v>1828</v>
      </c>
      <c r="M164" s="39" t="s">
        <v>275</v>
      </c>
      <c r="N164" s="39"/>
      <c r="O164" s="39" t="s">
        <v>276</v>
      </c>
      <c r="P164" s="39" t="s">
        <v>277</v>
      </c>
      <c r="Q164" s="40">
        <v>98115.0</v>
      </c>
      <c r="R164" s="39" t="s">
        <v>137</v>
      </c>
      <c r="S164" s="39" t="s">
        <v>19</v>
      </c>
      <c r="T164" s="39" t="s">
        <v>160</v>
      </c>
      <c r="U164" s="39" t="s">
        <v>68</v>
      </c>
      <c r="V164" s="39" t="s">
        <v>161</v>
      </c>
      <c r="W164" s="41">
        <v>44584.0</v>
      </c>
      <c r="X164" s="40">
        <v>107.0</v>
      </c>
      <c r="Y164" s="39" t="s">
        <v>1829</v>
      </c>
      <c r="Z164" s="41">
        <v>31368.0</v>
      </c>
      <c r="AA164" s="39" t="s">
        <v>141</v>
      </c>
      <c r="AB164" s="39" t="s">
        <v>180</v>
      </c>
      <c r="AC164" s="39" t="s">
        <v>181</v>
      </c>
      <c r="AD164" s="40">
        <v>114000.0</v>
      </c>
      <c r="AE164" s="40">
        <v>114000.0</v>
      </c>
      <c r="AF164" s="39" t="s">
        <v>144</v>
      </c>
      <c r="AG164" s="39" t="s">
        <v>145</v>
      </c>
      <c r="AH164" s="39" t="s">
        <v>293</v>
      </c>
      <c r="AI164" s="42" t="s">
        <v>1830</v>
      </c>
      <c r="AJ164" s="42" t="s">
        <v>1831</v>
      </c>
    </row>
    <row r="165" ht="15.75" customHeight="1">
      <c r="A165" s="40">
        <v>164.0</v>
      </c>
      <c r="B165" s="39" t="s">
        <v>1832</v>
      </c>
      <c r="C165" s="39" t="s">
        <v>1833</v>
      </c>
      <c r="D165" s="39" t="s">
        <v>1834</v>
      </c>
      <c r="E165" s="39" t="s">
        <v>1833</v>
      </c>
      <c r="F165" s="39" t="s">
        <v>203</v>
      </c>
      <c r="G165" s="39" t="s">
        <v>1835</v>
      </c>
      <c r="H165" s="39" t="s">
        <v>1836</v>
      </c>
      <c r="I165" s="39"/>
      <c r="J165" s="39" t="s">
        <v>1837</v>
      </c>
      <c r="K165" s="40">
        <v>478.0</v>
      </c>
      <c r="L165" s="39" t="s">
        <v>1838</v>
      </c>
      <c r="M165" s="39" t="s">
        <v>247</v>
      </c>
      <c r="N165" s="39" t="s">
        <v>248</v>
      </c>
      <c r="O165" s="39" t="s">
        <v>135</v>
      </c>
      <c r="P165" s="39" t="s">
        <v>136</v>
      </c>
      <c r="Q165" s="40">
        <v>94103.0</v>
      </c>
      <c r="R165" s="39" t="s">
        <v>137</v>
      </c>
      <c r="S165" s="39" t="s">
        <v>19</v>
      </c>
      <c r="T165" s="39" t="s">
        <v>236</v>
      </c>
      <c r="U165" s="39" t="s">
        <v>77</v>
      </c>
      <c r="V165" s="39" t="s">
        <v>139</v>
      </c>
      <c r="W165" s="41">
        <v>45491.0</v>
      </c>
      <c r="X165" s="40">
        <v>61.0</v>
      </c>
      <c r="Y165" s="39" t="s">
        <v>1839</v>
      </c>
      <c r="Z165" s="41">
        <v>31566.0</v>
      </c>
      <c r="AA165" s="39" t="s">
        <v>279</v>
      </c>
      <c r="AB165" s="39" t="s">
        <v>304</v>
      </c>
      <c r="AC165" s="39" t="s">
        <v>181</v>
      </c>
      <c r="AD165" s="40">
        <v>161000.0</v>
      </c>
      <c r="AE165" s="40">
        <v>161000.0</v>
      </c>
      <c r="AF165" s="39" t="s">
        <v>144</v>
      </c>
      <c r="AG165" s="39" t="s">
        <v>145</v>
      </c>
      <c r="AH165" s="39" t="s">
        <v>293</v>
      </c>
      <c r="AI165" s="42" t="s">
        <v>1840</v>
      </c>
      <c r="AJ165" s="42" t="s">
        <v>1841</v>
      </c>
    </row>
    <row r="166" ht="15.75" customHeight="1">
      <c r="A166" s="40">
        <v>165.0</v>
      </c>
      <c r="B166" s="39" t="s">
        <v>1842</v>
      </c>
      <c r="C166" s="39" t="s">
        <v>1843</v>
      </c>
      <c r="D166" s="39" t="s">
        <v>1844</v>
      </c>
      <c r="E166" s="39" t="s">
        <v>1843</v>
      </c>
      <c r="F166" s="39" t="s">
        <v>270</v>
      </c>
      <c r="G166" s="39" t="s">
        <v>1845</v>
      </c>
      <c r="H166" s="39" t="s">
        <v>1846</v>
      </c>
      <c r="I166" s="39"/>
      <c r="J166" s="39" t="s">
        <v>1847</v>
      </c>
      <c r="K166" s="40">
        <v>5556.0</v>
      </c>
      <c r="L166" s="39" t="s">
        <v>1848</v>
      </c>
      <c r="M166" s="39" t="s">
        <v>314</v>
      </c>
      <c r="N166" s="39" t="s">
        <v>315</v>
      </c>
      <c r="O166" s="39" t="s">
        <v>193</v>
      </c>
      <c r="P166" s="39" t="s">
        <v>194</v>
      </c>
      <c r="Q166" s="40">
        <v>10007.0</v>
      </c>
      <c r="R166" s="39" t="s">
        <v>137</v>
      </c>
      <c r="S166" s="39" t="s">
        <v>19</v>
      </c>
      <c r="T166" s="39" t="s">
        <v>138</v>
      </c>
      <c r="U166" s="39" t="s">
        <v>76</v>
      </c>
      <c r="V166" s="39" t="s">
        <v>195</v>
      </c>
      <c r="W166" s="41">
        <v>45788.0</v>
      </c>
      <c r="X166" s="40">
        <v>173.0</v>
      </c>
      <c r="Y166" s="39" t="s">
        <v>1849</v>
      </c>
      <c r="Z166" s="41">
        <v>30203.0</v>
      </c>
      <c r="AA166" s="39" t="s">
        <v>141</v>
      </c>
      <c r="AB166" s="39" t="s">
        <v>225</v>
      </c>
      <c r="AC166" s="39" t="s">
        <v>197</v>
      </c>
      <c r="AD166" s="40">
        <v>158000.0</v>
      </c>
      <c r="AE166" s="40">
        <v>158000.0</v>
      </c>
      <c r="AF166" s="39" t="s">
        <v>144</v>
      </c>
      <c r="AG166" s="39" t="s">
        <v>145</v>
      </c>
      <c r="AH166" s="39" t="s">
        <v>293</v>
      </c>
      <c r="AI166" s="42" t="s">
        <v>1850</v>
      </c>
      <c r="AJ166" s="42" t="s">
        <v>1851</v>
      </c>
    </row>
    <row r="167" ht="15.75" customHeight="1">
      <c r="A167" s="40">
        <v>166.0</v>
      </c>
      <c r="B167" s="39" t="s">
        <v>1852</v>
      </c>
      <c r="C167" s="39" t="s">
        <v>1853</v>
      </c>
      <c r="D167" s="39" t="s">
        <v>1854</v>
      </c>
      <c r="E167" s="39" t="s">
        <v>1853</v>
      </c>
      <c r="F167" s="39" t="s">
        <v>374</v>
      </c>
      <c r="G167" s="39" t="s">
        <v>1855</v>
      </c>
      <c r="H167" s="39" t="s">
        <v>1856</v>
      </c>
      <c r="I167" s="39"/>
      <c r="J167" s="39" t="s">
        <v>1857</v>
      </c>
      <c r="K167" s="40">
        <v>6073.0</v>
      </c>
      <c r="L167" s="39" t="s">
        <v>1858</v>
      </c>
      <c r="M167" s="39" t="s">
        <v>222</v>
      </c>
      <c r="N167" s="39" t="s">
        <v>223</v>
      </c>
      <c r="O167" s="39" t="s">
        <v>135</v>
      </c>
      <c r="P167" s="39" t="s">
        <v>136</v>
      </c>
      <c r="Q167" s="40">
        <v>94104.0</v>
      </c>
      <c r="R167" s="39" t="s">
        <v>137</v>
      </c>
      <c r="S167" s="39" t="s">
        <v>19</v>
      </c>
      <c r="T167" s="39" t="s">
        <v>236</v>
      </c>
      <c r="U167" s="39" t="s">
        <v>68</v>
      </c>
      <c r="V167" s="39" t="s">
        <v>139</v>
      </c>
      <c r="W167" s="41">
        <v>45407.0</v>
      </c>
      <c r="X167" s="40">
        <v>77.0</v>
      </c>
      <c r="Y167" s="39" t="s">
        <v>1859</v>
      </c>
      <c r="Z167" s="41">
        <v>34480.0</v>
      </c>
      <c r="AA167" s="39" t="s">
        <v>141</v>
      </c>
      <c r="AB167" s="39" t="s">
        <v>180</v>
      </c>
      <c r="AC167" s="39" t="s">
        <v>279</v>
      </c>
      <c r="AD167" s="40">
        <v>125000.0</v>
      </c>
      <c r="AE167" s="40">
        <v>125000.0</v>
      </c>
      <c r="AF167" s="39" t="s">
        <v>144</v>
      </c>
      <c r="AG167" s="39" t="s">
        <v>145</v>
      </c>
      <c r="AH167" s="39" t="s">
        <v>146</v>
      </c>
      <c r="AI167" s="42" t="s">
        <v>1860</v>
      </c>
      <c r="AJ167" s="42" t="s">
        <v>1861</v>
      </c>
    </row>
    <row r="168" ht="15.75" customHeight="1">
      <c r="A168" s="40">
        <v>167.0</v>
      </c>
      <c r="B168" s="39" t="s">
        <v>1862</v>
      </c>
      <c r="C168" s="39" t="s">
        <v>1863</v>
      </c>
      <c r="D168" s="39" t="s">
        <v>1864</v>
      </c>
      <c r="E168" s="39" t="s">
        <v>1863</v>
      </c>
      <c r="F168" s="39" t="s">
        <v>128</v>
      </c>
      <c r="G168" s="39" t="s">
        <v>1865</v>
      </c>
      <c r="H168" s="39" t="s">
        <v>1866</v>
      </c>
      <c r="I168" s="39"/>
      <c r="J168" s="39" t="s">
        <v>1867</v>
      </c>
      <c r="K168" s="40">
        <v>5108.0</v>
      </c>
      <c r="L168" s="39" t="s">
        <v>1868</v>
      </c>
      <c r="M168" s="39" t="s">
        <v>314</v>
      </c>
      <c r="N168" s="39" t="s">
        <v>315</v>
      </c>
      <c r="O168" s="39" t="s">
        <v>193</v>
      </c>
      <c r="P168" s="39" t="s">
        <v>194</v>
      </c>
      <c r="Q168" s="40">
        <v>10007.0</v>
      </c>
      <c r="R168" s="39" t="s">
        <v>137</v>
      </c>
      <c r="S168" s="39" t="s">
        <v>19</v>
      </c>
      <c r="T168" s="39" t="s">
        <v>138</v>
      </c>
      <c r="U168" s="39" t="s">
        <v>73</v>
      </c>
      <c r="V168" s="39" t="s">
        <v>195</v>
      </c>
      <c r="W168" s="41">
        <v>44600.0</v>
      </c>
      <c r="X168" s="40">
        <v>172.0</v>
      </c>
      <c r="Y168" s="39" t="s">
        <v>1869</v>
      </c>
      <c r="Z168" s="41">
        <v>33211.0</v>
      </c>
      <c r="AA168" s="39" t="s">
        <v>163</v>
      </c>
      <c r="AB168" s="39" t="s">
        <v>304</v>
      </c>
      <c r="AC168" s="39" t="s">
        <v>181</v>
      </c>
      <c r="AD168" s="40">
        <v>122000.0</v>
      </c>
      <c r="AE168" s="40">
        <v>122000.0</v>
      </c>
      <c r="AF168" s="39" t="s">
        <v>144</v>
      </c>
      <c r="AG168" s="39" t="s">
        <v>145</v>
      </c>
      <c r="AH168" s="39" t="s">
        <v>146</v>
      </c>
      <c r="AI168" s="42" t="s">
        <v>1870</v>
      </c>
      <c r="AJ168" s="42" t="s">
        <v>1871</v>
      </c>
    </row>
    <row r="169" ht="15.75" customHeight="1">
      <c r="A169" s="40">
        <v>168.0</v>
      </c>
      <c r="B169" s="39" t="s">
        <v>1872</v>
      </c>
      <c r="C169" s="39" t="s">
        <v>1873</v>
      </c>
      <c r="D169" s="39" t="s">
        <v>1874</v>
      </c>
      <c r="E169" s="39" t="s">
        <v>1873</v>
      </c>
      <c r="F169" s="39" t="s">
        <v>186</v>
      </c>
      <c r="G169" s="39" t="s">
        <v>1875</v>
      </c>
      <c r="H169" s="39" t="s">
        <v>1876</v>
      </c>
      <c r="I169" s="39"/>
      <c r="J169" s="39" t="s">
        <v>1877</v>
      </c>
      <c r="K169" s="40">
        <v>155.0</v>
      </c>
      <c r="L169" s="39" t="s">
        <v>1878</v>
      </c>
      <c r="M169" s="39" t="s">
        <v>157</v>
      </c>
      <c r="N169" s="39"/>
      <c r="O169" s="39" t="s">
        <v>158</v>
      </c>
      <c r="P169" s="39" t="s">
        <v>159</v>
      </c>
      <c r="Q169" s="40">
        <v>80202.0</v>
      </c>
      <c r="R169" s="39" t="s">
        <v>137</v>
      </c>
      <c r="S169" s="39" t="s">
        <v>19</v>
      </c>
      <c r="T169" s="39" t="s">
        <v>236</v>
      </c>
      <c r="U169" s="39" t="s">
        <v>77</v>
      </c>
      <c r="V169" s="39" t="s">
        <v>161</v>
      </c>
      <c r="W169" s="41">
        <v>45111.0</v>
      </c>
      <c r="X169" s="40">
        <v>82.0</v>
      </c>
      <c r="Y169" s="39" t="s">
        <v>1879</v>
      </c>
      <c r="Z169" s="41">
        <v>35565.0</v>
      </c>
      <c r="AA169" s="39" t="s">
        <v>141</v>
      </c>
      <c r="AB169" s="39" t="s">
        <v>304</v>
      </c>
      <c r="AC169" s="39" t="s">
        <v>181</v>
      </c>
      <c r="AD169" s="40">
        <v>135000.0</v>
      </c>
      <c r="AE169" s="40">
        <v>135000.0</v>
      </c>
      <c r="AF169" s="39" t="s">
        <v>144</v>
      </c>
      <c r="AG169" s="39" t="s">
        <v>145</v>
      </c>
      <c r="AH169" s="39" t="s">
        <v>146</v>
      </c>
      <c r="AI169" s="42" t="s">
        <v>1880</v>
      </c>
      <c r="AJ169" s="42" t="s">
        <v>1881</v>
      </c>
    </row>
    <row r="170" ht="15.75" customHeight="1">
      <c r="A170" s="40">
        <v>169.0</v>
      </c>
      <c r="B170" s="39" t="s">
        <v>1882</v>
      </c>
      <c r="C170" s="39" t="s">
        <v>152</v>
      </c>
      <c r="D170" s="39" t="s">
        <v>1883</v>
      </c>
      <c r="E170" s="39" t="s">
        <v>152</v>
      </c>
      <c r="F170" s="39" t="s">
        <v>217</v>
      </c>
      <c r="G170" s="39" t="s">
        <v>1884</v>
      </c>
      <c r="H170" s="39" t="s">
        <v>1885</v>
      </c>
      <c r="I170" s="39"/>
      <c r="J170" s="39" t="s">
        <v>1886</v>
      </c>
      <c r="K170" s="40">
        <v>8647.0</v>
      </c>
      <c r="L170" s="39" t="s">
        <v>1887</v>
      </c>
      <c r="M170" s="39" t="s">
        <v>222</v>
      </c>
      <c r="N170" s="39" t="s">
        <v>223</v>
      </c>
      <c r="O170" s="39" t="s">
        <v>135</v>
      </c>
      <c r="P170" s="39" t="s">
        <v>136</v>
      </c>
      <c r="Q170" s="40">
        <v>94104.0</v>
      </c>
      <c r="R170" s="39" t="s">
        <v>137</v>
      </c>
      <c r="S170" s="39" t="s">
        <v>19</v>
      </c>
      <c r="T170" s="39" t="s">
        <v>138</v>
      </c>
      <c r="U170" s="39" t="s">
        <v>77</v>
      </c>
      <c r="V170" s="39" t="s">
        <v>139</v>
      </c>
      <c r="W170" s="41">
        <v>44662.0</v>
      </c>
      <c r="X170" s="40">
        <v>173.0</v>
      </c>
      <c r="Y170" s="39" t="s">
        <v>1888</v>
      </c>
      <c r="Z170" s="41">
        <v>36799.0</v>
      </c>
      <c r="AA170" s="39" t="s">
        <v>141</v>
      </c>
      <c r="AB170" s="39" t="s">
        <v>304</v>
      </c>
      <c r="AC170" s="39" t="s">
        <v>197</v>
      </c>
      <c r="AD170" s="40">
        <v>111000.0</v>
      </c>
      <c r="AE170" s="40">
        <v>111000.0</v>
      </c>
      <c r="AF170" s="39" t="s">
        <v>144</v>
      </c>
      <c r="AG170" s="39" t="s">
        <v>145</v>
      </c>
      <c r="AH170" s="39" t="s">
        <v>146</v>
      </c>
      <c r="AI170" s="42" t="s">
        <v>1889</v>
      </c>
      <c r="AJ170" s="42" t="s">
        <v>1890</v>
      </c>
    </row>
    <row r="171" ht="15.75" customHeight="1">
      <c r="A171" s="40">
        <v>170.0</v>
      </c>
      <c r="B171" s="39" t="s">
        <v>1891</v>
      </c>
      <c r="C171" s="39" t="s">
        <v>1892</v>
      </c>
      <c r="D171" s="39" t="s">
        <v>1893</v>
      </c>
      <c r="E171" s="39" t="s">
        <v>1892</v>
      </c>
      <c r="F171" s="39" t="s">
        <v>374</v>
      </c>
      <c r="G171" s="39" t="s">
        <v>1894</v>
      </c>
      <c r="H171" s="39" t="s">
        <v>1895</v>
      </c>
      <c r="I171" s="39"/>
      <c r="J171" s="39" t="s">
        <v>1896</v>
      </c>
      <c r="K171" s="40">
        <v>6939.0</v>
      </c>
      <c r="L171" s="39" t="s">
        <v>1897</v>
      </c>
      <c r="M171" s="39" t="s">
        <v>839</v>
      </c>
      <c r="N171" s="39" t="s">
        <v>840</v>
      </c>
      <c r="O171" s="39" t="s">
        <v>841</v>
      </c>
      <c r="P171" s="39" t="s">
        <v>842</v>
      </c>
      <c r="Q171" s="40">
        <v>30309.0</v>
      </c>
      <c r="R171" s="39" t="s">
        <v>137</v>
      </c>
      <c r="S171" s="39" t="s">
        <v>19</v>
      </c>
      <c r="T171" s="39" t="s">
        <v>160</v>
      </c>
      <c r="U171" s="39" t="s">
        <v>73</v>
      </c>
      <c r="V171" s="39" t="s">
        <v>161</v>
      </c>
      <c r="W171" s="41">
        <v>45324.0</v>
      </c>
      <c r="X171" s="40">
        <v>140.0</v>
      </c>
      <c r="Y171" s="39" t="s">
        <v>1898</v>
      </c>
      <c r="Z171" s="41">
        <v>32608.0</v>
      </c>
      <c r="AA171" s="39" t="s">
        <v>141</v>
      </c>
      <c r="AB171" s="39" t="s">
        <v>142</v>
      </c>
      <c r="AC171" s="39" t="s">
        <v>181</v>
      </c>
      <c r="AD171" s="40">
        <v>153000.0</v>
      </c>
      <c r="AE171" s="40">
        <v>153000.0</v>
      </c>
      <c r="AF171" s="39" t="s">
        <v>144</v>
      </c>
      <c r="AG171" s="39" t="s">
        <v>145</v>
      </c>
      <c r="AH171" s="39" t="s">
        <v>293</v>
      </c>
      <c r="AI171" s="42" t="s">
        <v>1899</v>
      </c>
      <c r="AJ171" s="42" t="s">
        <v>1900</v>
      </c>
    </row>
    <row r="172" ht="15.75" customHeight="1">
      <c r="A172" s="40">
        <v>171.0</v>
      </c>
      <c r="B172" s="39" t="s">
        <v>1901</v>
      </c>
      <c r="C172" s="39" t="s">
        <v>1902</v>
      </c>
      <c r="D172" s="39" t="s">
        <v>1903</v>
      </c>
      <c r="E172" s="39" t="s">
        <v>1902</v>
      </c>
      <c r="F172" s="39" t="s">
        <v>128</v>
      </c>
      <c r="G172" s="39" t="s">
        <v>1904</v>
      </c>
      <c r="H172" s="39" t="s">
        <v>1905</v>
      </c>
      <c r="I172" s="39"/>
      <c r="J172" s="39" t="s">
        <v>1906</v>
      </c>
      <c r="K172" s="40">
        <v>8522.0</v>
      </c>
      <c r="L172" s="39" t="s">
        <v>1907</v>
      </c>
      <c r="M172" s="39" t="s">
        <v>208</v>
      </c>
      <c r="N172" s="39" t="s">
        <v>209</v>
      </c>
      <c r="O172" s="39" t="s">
        <v>135</v>
      </c>
      <c r="P172" s="39" t="s">
        <v>136</v>
      </c>
      <c r="Q172" s="40">
        <v>94105.0</v>
      </c>
      <c r="R172" s="39" t="s">
        <v>137</v>
      </c>
      <c r="S172" s="39" t="s">
        <v>19</v>
      </c>
      <c r="T172" s="39" t="s">
        <v>138</v>
      </c>
      <c r="U172" s="39" t="s">
        <v>77</v>
      </c>
      <c r="V172" s="39" t="s">
        <v>139</v>
      </c>
      <c r="W172" s="41">
        <v>44918.0</v>
      </c>
      <c r="X172" s="40">
        <v>205.0</v>
      </c>
      <c r="Y172" s="39" t="s">
        <v>1908</v>
      </c>
      <c r="Z172" s="41">
        <v>32169.0</v>
      </c>
      <c r="AA172" s="39" t="s">
        <v>141</v>
      </c>
      <c r="AB172" s="39" t="s">
        <v>142</v>
      </c>
      <c r="AC172" s="39" t="s">
        <v>197</v>
      </c>
      <c r="AD172" s="40">
        <v>109000.0</v>
      </c>
      <c r="AE172" s="40">
        <v>109000.0</v>
      </c>
      <c r="AF172" s="39" t="s">
        <v>144</v>
      </c>
      <c r="AG172" s="39" t="s">
        <v>145</v>
      </c>
      <c r="AH172" s="39" t="s">
        <v>264</v>
      </c>
      <c r="AI172" s="42" t="s">
        <v>1909</v>
      </c>
      <c r="AJ172" s="42" t="s">
        <v>1910</v>
      </c>
    </row>
    <row r="173" ht="15.75" customHeight="1">
      <c r="A173" s="40">
        <v>172.0</v>
      </c>
      <c r="B173" s="39" t="s">
        <v>1911</v>
      </c>
      <c r="C173" s="39" t="s">
        <v>1912</v>
      </c>
      <c r="D173" s="39" t="s">
        <v>1913</v>
      </c>
      <c r="E173" s="39" t="s">
        <v>1912</v>
      </c>
      <c r="F173" s="39" t="s">
        <v>152</v>
      </c>
      <c r="G173" s="39" t="s">
        <v>1914</v>
      </c>
      <c r="H173" s="39" t="s">
        <v>1915</v>
      </c>
      <c r="I173" s="39"/>
      <c r="J173" s="39" t="s">
        <v>1916</v>
      </c>
      <c r="K173" s="40">
        <v>1210.0</v>
      </c>
      <c r="L173" s="39" t="s">
        <v>1917</v>
      </c>
      <c r="M173" s="39" t="s">
        <v>133</v>
      </c>
      <c r="N173" s="39" t="s">
        <v>134</v>
      </c>
      <c r="O173" s="39" t="s">
        <v>135</v>
      </c>
      <c r="P173" s="39" t="s">
        <v>136</v>
      </c>
      <c r="Q173" s="40">
        <v>94108.0</v>
      </c>
      <c r="R173" s="39" t="s">
        <v>137</v>
      </c>
      <c r="S173" s="39" t="s">
        <v>19</v>
      </c>
      <c r="T173" s="39" t="s">
        <v>138</v>
      </c>
      <c r="U173" s="39" t="s">
        <v>74</v>
      </c>
      <c r="V173" s="39" t="s">
        <v>139</v>
      </c>
      <c r="W173" s="41">
        <v>45280.0</v>
      </c>
      <c r="X173" s="40">
        <v>237.0</v>
      </c>
      <c r="Y173" s="39" t="s">
        <v>1918</v>
      </c>
      <c r="Z173" s="41">
        <v>33880.0</v>
      </c>
      <c r="AA173" s="39" t="s">
        <v>141</v>
      </c>
      <c r="AB173" s="39" t="s">
        <v>180</v>
      </c>
      <c r="AC173" s="39" t="s">
        <v>197</v>
      </c>
      <c r="AD173" s="40">
        <v>198000.0</v>
      </c>
      <c r="AE173" s="40">
        <v>198000.0</v>
      </c>
      <c r="AF173" s="39" t="s">
        <v>144</v>
      </c>
      <c r="AG173" s="39" t="s">
        <v>145</v>
      </c>
      <c r="AH173" s="39" t="s">
        <v>264</v>
      </c>
      <c r="AI173" s="42" t="s">
        <v>1919</v>
      </c>
      <c r="AJ173" s="42" t="s">
        <v>1920</v>
      </c>
    </row>
    <row r="174" ht="15.75" customHeight="1">
      <c r="A174" s="40">
        <v>173.0</v>
      </c>
      <c r="B174" s="39" t="s">
        <v>1921</v>
      </c>
      <c r="C174" s="39" t="s">
        <v>1922</v>
      </c>
      <c r="D174" s="39" t="s">
        <v>1923</v>
      </c>
      <c r="E174" s="39" t="s">
        <v>1922</v>
      </c>
      <c r="F174" s="39" t="s">
        <v>374</v>
      </c>
      <c r="G174" s="39" t="s">
        <v>1924</v>
      </c>
      <c r="H174" s="39" t="s">
        <v>1925</v>
      </c>
      <c r="I174" s="39"/>
      <c r="J174" s="39" t="s">
        <v>1926</v>
      </c>
      <c r="K174" s="40">
        <v>5309.0</v>
      </c>
      <c r="L174" s="39" t="s">
        <v>1927</v>
      </c>
      <c r="M174" s="39" t="s">
        <v>379</v>
      </c>
      <c r="N174" s="39" t="s">
        <v>380</v>
      </c>
      <c r="O174" s="39" t="s">
        <v>193</v>
      </c>
      <c r="P174" s="39" t="s">
        <v>194</v>
      </c>
      <c r="Q174" s="40">
        <v>10036.0</v>
      </c>
      <c r="R174" s="39" t="s">
        <v>137</v>
      </c>
      <c r="S174" s="39" t="s">
        <v>19</v>
      </c>
      <c r="T174" s="39" t="s">
        <v>138</v>
      </c>
      <c r="U174" s="39" t="s">
        <v>69</v>
      </c>
      <c r="V174" s="39" t="s">
        <v>195</v>
      </c>
      <c r="W174" s="41">
        <v>45534.0</v>
      </c>
      <c r="X174" s="40">
        <v>237.0</v>
      </c>
      <c r="Y174" s="39" t="s">
        <v>1928</v>
      </c>
      <c r="Z174" s="41">
        <v>28233.0</v>
      </c>
      <c r="AA174" s="39" t="s">
        <v>279</v>
      </c>
      <c r="AB174" s="39" t="s">
        <v>225</v>
      </c>
      <c r="AC174" s="39" t="s">
        <v>197</v>
      </c>
      <c r="AD174" s="40">
        <v>208000.0</v>
      </c>
      <c r="AE174" s="40">
        <v>208000.0</v>
      </c>
      <c r="AF174" s="39" t="s">
        <v>144</v>
      </c>
      <c r="AG174" s="39" t="s">
        <v>145</v>
      </c>
      <c r="AH174" s="39" t="s">
        <v>146</v>
      </c>
      <c r="AI174" s="42" t="s">
        <v>1929</v>
      </c>
      <c r="AJ174" s="42" t="s">
        <v>1930</v>
      </c>
    </row>
    <row r="175" ht="15.75" customHeight="1">
      <c r="A175" s="40">
        <v>174.0</v>
      </c>
      <c r="B175" s="39" t="s">
        <v>1931</v>
      </c>
      <c r="C175" s="39" t="s">
        <v>1932</v>
      </c>
      <c r="D175" s="39" t="s">
        <v>1933</v>
      </c>
      <c r="E175" s="39" t="s">
        <v>1932</v>
      </c>
      <c r="F175" s="39" t="s">
        <v>186</v>
      </c>
      <c r="G175" s="39" t="s">
        <v>1934</v>
      </c>
      <c r="H175" s="39" t="s">
        <v>1935</v>
      </c>
      <c r="I175" s="39"/>
      <c r="J175" s="39" t="s">
        <v>1936</v>
      </c>
      <c r="K175" s="40">
        <v>2476.0</v>
      </c>
      <c r="L175" s="39" t="s">
        <v>1937</v>
      </c>
      <c r="M175" s="39" t="s">
        <v>752</v>
      </c>
      <c r="N175" s="39" t="s">
        <v>753</v>
      </c>
      <c r="O175" s="39" t="s">
        <v>754</v>
      </c>
      <c r="P175" s="39" t="s">
        <v>194</v>
      </c>
      <c r="Q175" s="40">
        <v>11249.0</v>
      </c>
      <c r="R175" s="39" t="s">
        <v>137</v>
      </c>
      <c r="S175" s="39" t="s">
        <v>19</v>
      </c>
      <c r="T175" s="39" t="s">
        <v>138</v>
      </c>
      <c r="U175" s="39" t="s">
        <v>77</v>
      </c>
      <c r="V175" s="39" t="s">
        <v>161</v>
      </c>
      <c r="W175" s="41">
        <v>44765.0</v>
      </c>
      <c r="X175" s="40">
        <v>206.0</v>
      </c>
      <c r="Y175" s="39" t="s">
        <v>1938</v>
      </c>
      <c r="Z175" s="41">
        <v>32969.0</v>
      </c>
      <c r="AA175" s="39" t="s">
        <v>163</v>
      </c>
      <c r="AB175" s="39" t="s">
        <v>180</v>
      </c>
      <c r="AC175" s="39" t="s">
        <v>197</v>
      </c>
      <c r="AD175" s="40">
        <v>125000.0</v>
      </c>
      <c r="AE175" s="40">
        <v>125000.0</v>
      </c>
      <c r="AF175" s="39" t="s">
        <v>144</v>
      </c>
      <c r="AG175" s="39" t="s">
        <v>145</v>
      </c>
      <c r="AH175" s="39" t="s">
        <v>146</v>
      </c>
      <c r="AI175" s="42" t="s">
        <v>1939</v>
      </c>
      <c r="AJ175" s="42" t="s">
        <v>1940</v>
      </c>
    </row>
    <row r="176" ht="15.75" customHeight="1">
      <c r="A176" s="40">
        <v>175.0</v>
      </c>
      <c r="B176" s="39" t="s">
        <v>1941</v>
      </c>
      <c r="C176" s="39" t="s">
        <v>1942</v>
      </c>
      <c r="D176" s="39" t="s">
        <v>1943</v>
      </c>
      <c r="E176" s="39" t="s">
        <v>1942</v>
      </c>
      <c r="F176" s="39" t="s">
        <v>374</v>
      </c>
      <c r="G176" s="39" t="s">
        <v>1944</v>
      </c>
      <c r="H176" s="39" t="s">
        <v>1945</v>
      </c>
      <c r="I176" s="39"/>
      <c r="J176" s="39" t="s">
        <v>1946</v>
      </c>
      <c r="K176" s="40">
        <v>4574.0</v>
      </c>
      <c r="L176" s="39" t="s">
        <v>1947</v>
      </c>
      <c r="M176" s="39" t="s">
        <v>133</v>
      </c>
      <c r="N176" s="39" t="s">
        <v>134</v>
      </c>
      <c r="O176" s="39" t="s">
        <v>135</v>
      </c>
      <c r="P176" s="39" t="s">
        <v>136</v>
      </c>
      <c r="Q176" s="40">
        <v>94108.0</v>
      </c>
      <c r="R176" s="39" t="s">
        <v>137</v>
      </c>
      <c r="S176" s="39" t="s">
        <v>18</v>
      </c>
      <c r="T176" s="39" t="s">
        <v>593</v>
      </c>
      <c r="U176" s="39" t="s">
        <v>61</v>
      </c>
      <c r="V176" s="39" t="s">
        <v>139</v>
      </c>
      <c r="W176" s="41">
        <v>45316.0</v>
      </c>
      <c r="X176" s="40">
        <v>230.0</v>
      </c>
      <c r="Y176" s="39" t="s">
        <v>1948</v>
      </c>
      <c r="Z176" s="41">
        <v>35252.0</v>
      </c>
      <c r="AA176" s="39" t="s">
        <v>141</v>
      </c>
      <c r="AB176" s="39" t="s">
        <v>225</v>
      </c>
      <c r="AC176" s="39" t="s">
        <v>197</v>
      </c>
      <c r="AD176" s="40">
        <v>102000.0</v>
      </c>
      <c r="AE176" s="40">
        <v>102000.0</v>
      </c>
      <c r="AF176" s="39" t="s">
        <v>144</v>
      </c>
      <c r="AG176" s="39" t="s">
        <v>145</v>
      </c>
      <c r="AH176" s="39" t="s">
        <v>146</v>
      </c>
      <c r="AI176" s="42" t="s">
        <v>1949</v>
      </c>
      <c r="AJ176" s="42" t="s">
        <v>1950</v>
      </c>
    </row>
    <row r="177" ht="15.75" customHeight="1">
      <c r="A177" s="40">
        <v>176.0</v>
      </c>
      <c r="B177" s="39" t="s">
        <v>1951</v>
      </c>
      <c r="C177" s="39" t="s">
        <v>1952</v>
      </c>
      <c r="D177" s="39" t="s">
        <v>1953</v>
      </c>
      <c r="E177" s="39" t="s">
        <v>1952</v>
      </c>
      <c r="F177" s="39" t="s">
        <v>203</v>
      </c>
      <c r="G177" s="39" t="s">
        <v>1954</v>
      </c>
      <c r="H177" s="39" t="s">
        <v>1955</v>
      </c>
      <c r="I177" s="39"/>
      <c r="J177" s="39" t="s">
        <v>1956</v>
      </c>
      <c r="K177" s="40">
        <v>6398.0</v>
      </c>
      <c r="L177" s="39" t="s">
        <v>1957</v>
      </c>
      <c r="M177" s="39" t="s">
        <v>1300</v>
      </c>
      <c r="N177" s="39"/>
      <c r="O177" s="39" t="s">
        <v>1301</v>
      </c>
      <c r="P177" s="39" t="s">
        <v>1302</v>
      </c>
      <c r="Q177" s="40">
        <v>97477.0</v>
      </c>
      <c r="R177" s="39" t="s">
        <v>137</v>
      </c>
      <c r="S177" s="39" t="s">
        <v>18</v>
      </c>
      <c r="T177" s="39" t="s">
        <v>593</v>
      </c>
      <c r="U177" s="39" t="s">
        <v>61</v>
      </c>
      <c r="V177" s="39" t="s">
        <v>161</v>
      </c>
      <c r="W177" s="41">
        <v>45541.0</v>
      </c>
      <c r="X177" s="40">
        <v>102.0</v>
      </c>
      <c r="Y177" s="39" t="s">
        <v>1958</v>
      </c>
      <c r="Z177" s="41">
        <v>33140.0</v>
      </c>
      <c r="AA177" s="39" t="s">
        <v>141</v>
      </c>
      <c r="AB177" s="39" t="s">
        <v>180</v>
      </c>
      <c r="AC177" s="39" t="s">
        <v>181</v>
      </c>
      <c r="AD177" s="40">
        <v>127000.0</v>
      </c>
      <c r="AE177" s="40">
        <v>127000.0</v>
      </c>
      <c r="AF177" s="39" t="s">
        <v>144</v>
      </c>
      <c r="AG177" s="39" t="s">
        <v>145</v>
      </c>
      <c r="AH177" s="39" t="s">
        <v>146</v>
      </c>
      <c r="AI177" s="42" t="s">
        <v>1959</v>
      </c>
      <c r="AJ177" s="42" t="s">
        <v>1960</v>
      </c>
    </row>
    <row r="178" ht="15.75" customHeight="1">
      <c r="A178" s="40">
        <v>177.0</v>
      </c>
      <c r="B178" s="39" t="s">
        <v>1961</v>
      </c>
      <c r="C178" s="39" t="s">
        <v>1962</v>
      </c>
      <c r="D178" s="39" t="s">
        <v>1963</v>
      </c>
      <c r="E178" s="39" t="s">
        <v>1962</v>
      </c>
      <c r="F178" s="39" t="s">
        <v>374</v>
      </c>
      <c r="G178" s="39" t="s">
        <v>1964</v>
      </c>
      <c r="H178" s="39" t="s">
        <v>1965</v>
      </c>
      <c r="I178" s="39"/>
      <c r="J178" s="39" t="s">
        <v>1966</v>
      </c>
      <c r="K178" s="40">
        <v>805.0</v>
      </c>
      <c r="L178" s="39" t="s">
        <v>1967</v>
      </c>
      <c r="M178" s="39" t="s">
        <v>133</v>
      </c>
      <c r="N178" s="39" t="s">
        <v>134</v>
      </c>
      <c r="O178" s="39" t="s">
        <v>135</v>
      </c>
      <c r="P178" s="39" t="s">
        <v>136</v>
      </c>
      <c r="Q178" s="40">
        <v>94108.0</v>
      </c>
      <c r="R178" s="39" t="s">
        <v>137</v>
      </c>
      <c r="S178" s="39" t="s">
        <v>18</v>
      </c>
      <c r="T178" s="39" t="s">
        <v>593</v>
      </c>
      <c r="U178" s="39" t="s">
        <v>59</v>
      </c>
      <c r="V178" s="39" t="s">
        <v>139</v>
      </c>
      <c r="W178" s="41">
        <v>45815.0</v>
      </c>
      <c r="X178" s="40">
        <v>41.0</v>
      </c>
      <c r="Y178" s="39" t="s">
        <v>1968</v>
      </c>
      <c r="Z178" s="41">
        <v>27223.0</v>
      </c>
      <c r="AA178" s="39" t="s">
        <v>163</v>
      </c>
      <c r="AB178" s="39" t="s">
        <v>180</v>
      </c>
      <c r="AC178" s="39" t="s">
        <v>279</v>
      </c>
      <c r="AD178" s="40">
        <v>244000.0</v>
      </c>
      <c r="AE178" s="40">
        <v>244000.0</v>
      </c>
      <c r="AF178" s="39" t="s">
        <v>144</v>
      </c>
      <c r="AG178" s="39" t="s">
        <v>145</v>
      </c>
      <c r="AH178" s="39" t="s">
        <v>293</v>
      </c>
      <c r="AI178" s="42" t="s">
        <v>1969</v>
      </c>
      <c r="AJ178" s="42" t="s">
        <v>1970</v>
      </c>
    </row>
    <row r="179" ht="15.75" customHeight="1">
      <c r="A179" s="40">
        <v>178.0</v>
      </c>
      <c r="B179" s="39" t="s">
        <v>1971</v>
      </c>
      <c r="C179" s="39" t="s">
        <v>1972</v>
      </c>
      <c r="D179" s="39" t="s">
        <v>1973</v>
      </c>
      <c r="E179" s="39" t="s">
        <v>1972</v>
      </c>
      <c r="F179" s="39" t="s">
        <v>427</v>
      </c>
      <c r="G179" s="39" t="s">
        <v>1974</v>
      </c>
      <c r="H179" s="39" t="s">
        <v>1975</v>
      </c>
      <c r="I179" s="39"/>
      <c r="J179" s="39" t="s">
        <v>1976</v>
      </c>
      <c r="K179" s="40">
        <v>2271.0</v>
      </c>
      <c r="L179" s="39" t="s">
        <v>1977</v>
      </c>
      <c r="M179" s="39" t="s">
        <v>839</v>
      </c>
      <c r="N179" s="39" t="s">
        <v>840</v>
      </c>
      <c r="O179" s="39" t="s">
        <v>841</v>
      </c>
      <c r="P179" s="39" t="s">
        <v>842</v>
      </c>
      <c r="Q179" s="40">
        <v>30309.0</v>
      </c>
      <c r="R179" s="39" t="s">
        <v>137</v>
      </c>
      <c r="S179" s="39" t="s">
        <v>17</v>
      </c>
      <c r="T179" s="39" t="s">
        <v>17</v>
      </c>
      <c r="U179" s="39" t="s">
        <v>52</v>
      </c>
      <c r="V179" s="39" t="s">
        <v>161</v>
      </c>
      <c r="W179" s="41">
        <v>45910.0</v>
      </c>
      <c r="X179" s="40">
        <v>91.0</v>
      </c>
      <c r="Y179" s="39" t="s">
        <v>1978</v>
      </c>
      <c r="Z179" s="41">
        <v>29594.0</v>
      </c>
      <c r="AA179" s="39" t="s">
        <v>163</v>
      </c>
      <c r="AB179" s="39" t="s">
        <v>142</v>
      </c>
      <c r="AC179" s="39" t="s">
        <v>279</v>
      </c>
      <c r="AD179" s="40">
        <v>147000.0</v>
      </c>
      <c r="AE179" s="40">
        <v>147000.0</v>
      </c>
      <c r="AF179" s="39" t="s">
        <v>144</v>
      </c>
      <c r="AG179" s="39" t="s">
        <v>145</v>
      </c>
      <c r="AH179" s="39" t="s">
        <v>293</v>
      </c>
      <c r="AI179" s="42" t="s">
        <v>1979</v>
      </c>
      <c r="AJ179" s="42" t="s">
        <v>1980</v>
      </c>
    </row>
    <row r="180" ht="15.75" customHeight="1">
      <c r="A180" s="40">
        <v>179.0</v>
      </c>
      <c r="B180" s="39" t="s">
        <v>1981</v>
      </c>
      <c r="C180" s="39" t="s">
        <v>1982</v>
      </c>
      <c r="D180" s="39" t="s">
        <v>1983</v>
      </c>
      <c r="E180" s="39" t="s">
        <v>1982</v>
      </c>
      <c r="F180" s="39" t="s">
        <v>270</v>
      </c>
      <c r="G180" s="39" t="s">
        <v>1984</v>
      </c>
      <c r="H180" s="39" t="s">
        <v>1985</v>
      </c>
      <c r="I180" s="39"/>
      <c r="J180" s="39" t="s">
        <v>1986</v>
      </c>
      <c r="K180" s="40">
        <v>3489.0</v>
      </c>
      <c r="L180" s="39" t="s">
        <v>1987</v>
      </c>
      <c r="M180" s="39" t="s">
        <v>191</v>
      </c>
      <c r="N180" s="39" t="s">
        <v>192</v>
      </c>
      <c r="O180" s="39" t="s">
        <v>193</v>
      </c>
      <c r="P180" s="39" t="s">
        <v>194</v>
      </c>
      <c r="Q180" s="40">
        <v>10011.0</v>
      </c>
      <c r="R180" s="39" t="s">
        <v>137</v>
      </c>
      <c r="S180" s="39" t="s">
        <v>17</v>
      </c>
      <c r="T180" s="39" t="s">
        <v>17</v>
      </c>
      <c r="U180" s="39" t="s">
        <v>48</v>
      </c>
      <c r="V180" s="39" t="s">
        <v>195</v>
      </c>
      <c r="W180" s="41">
        <v>44917.0</v>
      </c>
      <c r="X180" s="40">
        <v>240.0</v>
      </c>
      <c r="Y180" s="39" t="s">
        <v>1988</v>
      </c>
      <c r="Z180" s="41">
        <v>30173.0</v>
      </c>
      <c r="AA180" s="39" t="s">
        <v>163</v>
      </c>
      <c r="AB180" s="39" t="s">
        <v>142</v>
      </c>
      <c r="AC180" s="39" t="s">
        <v>197</v>
      </c>
      <c r="AD180" s="40">
        <v>183000.0</v>
      </c>
      <c r="AE180" s="40">
        <v>183000.0</v>
      </c>
      <c r="AF180" s="39" t="s">
        <v>144</v>
      </c>
      <c r="AG180" s="39" t="s">
        <v>145</v>
      </c>
      <c r="AH180" s="39" t="s">
        <v>264</v>
      </c>
      <c r="AI180" s="42" t="s">
        <v>1989</v>
      </c>
      <c r="AJ180" s="42" t="s">
        <v>1990</v>
      </c>
    </row>
    <row r="181" ht="15.75" customHeight="1">
      <c r="A181" s="40">
        <v>180.0</v>
      </c>
      <c r="B181" s="39" t="s">
        <v>1991</v>
      </c>
      <c r="C181" s="39" t="s">
        <v>1992</v>
      </c>
      <c r="D181" s="39" t="s">
        <v>1993</v>
      </c>
      <c r="E181" s="39" t="s">
        <v>1992</v>
      </c>
      <c r="F181" s="39" t="s">
        <v>217</v>
      </c>
      <c r="G181" s="39" t="s">
        <v>1994</v>
      </c>
      <c r="H181" s="39" t="s">
        <v>1995</v>
      </c>
      <c r="I181" s="39"/>
      <c r="J181" s="39" t="s">
        <v>1996</v>
      </c>
      <c r="K181" s="40">
        <v>8719.0</v>
      </c>
      <c r="L181" s="39" t="s">
        <v>1997</v>
      </c>
      <c r="M181" s="39" t="s">
        <v>275</v>
      </c>
      <c r="N181" s="39"/>
      <c r="O181" s="39" t="s">
        <v>276</v>
      </c>
      <c r="P181" s="39" t="s">
        <v>277</v>
      </c>
      <c r="Q181" s="40">
        <v>98115.0</v>
      </c>
      <c r="R181" s="39" t="s">
        <v>137</v>
      </c>
      <c r="S181" s="39" t="s">
        <v>17</v>
      </c>
      <c r="T181" s="39" t="s">
        <v>17</v>
      </c>
      <c r="U181" s="39" t="s">
        <v>46</v>
      </c>
      <c r="V181" s="39" t="s">
        <v>161</v>
      </c>
      <c r="W181" s="41">
        <v>44778.0</v>
      </c>
      <c r="X181" s="40">
        <v>36.0</v>
      </c>
      <c r="Y181" s="39" t="s">
        <v>1998</v>
      </c>
      <c r="Z181" s="41">
        <v>31746.0</v>
      </c>
      <c r="AA181" s="39" t="s">
        <v>279</v>
      </c>
      <c r="AB181" s="39" t="s">
        <v>142</v>
      </c>
      <c r="AC181" s="39" t="s">
        <v>197</v>
      </c>
      <c r="AD181" s="40">
        <v>83000.0</v>
      </c>
      <c r="AE181" s="40">
        <v>83000.0</v>
      </c>
      <c r="AF181" s="39" t="s">
        <v>144</v>
      </c>
      <c r="AG181" s="39" t="s">
        <v>145</v>
      </c>
      <c r="AH181" s="39" t="s">
        <v>146</v>
      </c>
      <c r="AI181" s="42" t="s">
        <v>1999</v>
      </c>
      <c r="AJ181" s="42" t="s">
        <v>2000</v>
      </c>
    </row>
    <row r="182" ht="15.75" customHeight="1">
      <c r="A182" s="40">
        <v>181.0</v>
      </c>
      <c r="B182" s="39" t="s">
        <v>2001</v>
      </c>
      <c r="C182" s="39" t="s">
        <v>2002</v>
      </c>
      <c r="D182" s="39" t="s">
        <v>2003</v>
      </c>
      <c r="E182" s="39" t="s">
        <v>2002</v>
      </c>
      <c r="F182" s="39" t="s">
        <v>374</v>
      </c>
      <c r="G182" s="39" t="s">
        <v>2004</v>
      </c>
      <c r="H182" s="39" t="s">
        <v>2005</v>
      </c>
      <c r="I182" s="39"/>
      <c r="J182" s="39" t="s">
        <v>2006</v>
      </c>
      <c r="K182" s="40">
        <v>4744.0</v>
      </c>
      <c r="L182" s="39" t="s">
        <v>2007</v>
      </c>
      <c r="M182" s="39" t="s">
        <v>815</v>
      </c>
      <c r="N182" s="39" t="s">
        <v>816</v>
      </c>
      <c r="O182" s="39" t="s">
        <v>817</v>
      </c>
      <c r="P182" s="39" t="s">
        <v>818</v>
      </c>
      <c r="Q182" s="40">
        <v>60606.0</v>
      </c>
      <c r="R182" s="39" t="s">
        <v>137</v>
      </c>
      <c r="S182" s="39" t="s">
        <v>17</v>
      </c>
      <c r="T182" s="39" t="s">
        <v>17</v>
      </c>
      <c r="U182" s="39" t="s">
        <v>49</v>
      </c>
      <c r="V182" s="39" t="s">
        <v>161</v>
      </c>
      <c r="W182" s="41">
        <v>45355.0</v>
      </c>
      <c r="X182" s="40">
        <v>37.0</v>
      </c>
      <c r="Y182" s="39" t="s">
        <v>2008</v>
      </c>
      <c r="Z182" s="41">
        <v>31128.0</v>
      </c>
      <c r="AA182" s="39" t="s">
        <v>141</v>
      </c>
      <c r="AB182" s="39" t="s">
        <v>225</v>
      </c>
      <c r="AC182" s="39" t="s">
        <v>211</v>
      </c>
      <c r="AD182" s="40">
        <v>95000.0</v>
      </c>
      <c r="AE182" s="40">
        <v>95000.0</v>
      </c>
      <c r="AF182" s="39" t="s">
        <v>144</v>
      </c>
      <c r="AG182" s="39" t="s">
        <v>145</v>
      </c>
      <c r="AH182" s="39" t="s">
        <v>293</v>
      </c>
      <c r="AI182" s="42" t="s">
        <v>2009</v>
      </c>
      <c r="AJ182" s="42" t="s">
        <v>2010</v>
      </c>
    </row>
    <row r="183" ht="15.75" customHeight="1">
      <c r="A183" s="40">
        <v>182.0</v>
      </c>
      <c r="B183" s="39" t="s">
        <v>2011</v>
      </c>
      <c r="C183" s="39" t="s">
        <v>2012</v>
      </c>
      <c r="D183" s="39" t="s">
        <v>2013</v>
      </c>
      <c r="E183" s="39" t="s">
        <v>2012</v>
      </c>
      <c r="F183" s="39" t="s">
        <v>270</v>
      </c>
      <c r="G183" s="39" t="s">
        <v>2014</v>
      </c>
      <c r="H183" s="39" t="s">
        <v>2015</v>
      </c>
      <c r="I183" s="39"/>
      <c r="J183" s="39" t="s">
        <v>2016</v>
      </c>
      <c r="K183" s="40">
        <v>2294.0</v>
      </c>
      <c r="L183" s="39" t="s">
        <v>2017</v>
      </c>
      <c r="M183" s="39" t="s">
        <v>903</v>
      </c>
      <c r="N183" s="39"/>
      <c r="O183" s="39" t="s">
        <v>174</v>
      </c>
      <c r="P183" s="39" t="s">
        <v>175</v>
      </c>
      <c r="Q183" s="39" t="s">
        <v>904</v>
      </c>
      <c r="R183" s="39" t="s">
        <v>177</v>
      </c>
      <c r="S183" s="39" t="s">
        <v>16</v>
      </c>
      <c r="T183" s="39" t="s">
        <v>16</v>
      </c>
      <c r="U183" s="39" t="s">
        <v>80</v>
      </c>
      <c r="V183" s="39" t="s">
        <v>178</v>
      </c>
      <c r="W183" s="41">
        <v>45015.0</v>
      </c>
      <c r="X183" s="40">
        <v>138.0</v>
      </c>
      <c r="Y183" s="39" t="s">
        <v>2018</v>
      </c>
      <c r="Z183" s="41">
        <v>33469.0</v>
      </c>
      <c r="AA183" s="39" t="s">
        <v>141</v>
      </c>
      <c r="AB183" s="39" t="s">
        <v>142</v>
      </c>
      <c r="AC183" s="39" t="s">
        <v>197</v>
      </c>
      <c r="AD183" s="40">
        <v>122000.0</v>
      </c>
      <c r="AE183" s="40">
        <v>122000.0</v>
      </c>
      <c r="AF183" s="39" t="s">
        <v>144</v>
      </c>
      <c r="AG183" s="39" t="s">
        <v>145</v>
      </c>
      <c r="AH183" s="39" t="s">
        <v>293</v>
      </c>
      <c r="AI183" s="42" t="s">
        <v>2019</v>
      </c>
      <c r="AJ183" s="42" t="s">
        <v>2020</v>
      </c>
    </row>
    <row r="184" ht="15.75" customHeight="1">
      <c r="A184" s="40">
        <v>183.0</v>
      </c>
      <c r="B184" s="39" t="s">
        <v>2021</v>
      </c>
      <c r="C184" s="39" t="s">
        <v>1398</v>
      </c>
      <c r="D184" s="39" t="s">
        <v>2022</v>
      </c>
      <c r="E184" s="39" t="s">
        <v>1398</v>
      </c>
      <c r="F184" s="39" t="s">
        <v>203</v>
      </c>
      <c r="G184" s="39" t="s">
        <v>2023</v>
      </c>
      <c r="H184" s="39" t="s">
        <v>2024</v>
      </c>
      <c r="I184" s="39"/>
      <c r="J184" s="39" t="s">
        <v>2025</v>
      </c>
      <c r="K184" s="40">
        <v>3046.0</v>
      </c>
      <c r="L184" s="39" t="s">
        <v>2026</v>
      </c>
      <c r="M184" s="39" t="s">
        <v>260</v>
      </c>
      <c r="N184" s="39" t="s">
        <v>261</v>
      </c>
      <c r="O184" s="39" t="s">
        <v>193</v>
      </c>
      <c r="P184" s="39" t="s">
        <v>194</v>
      </c>
      <c r="Q184" s="40">
        <v>10011.0</v>
      </c>
      <c r="R184" s="39" t="s">
        <v>137</v>
      </c>
      <c r="S184" s="39" t="s">
        <v>19</v>
      </c>
      <c r="T184" s="39" t="s">
        <v>236</v>
      </c>
      <c r="U184" s="39" t="s">
        <v>78</v>
      </c>
      <c r="V184" s="39" t="s">
        <v>195</v>
      </c>
      <c r="W184" s="41">
        <v>44753.0</v>
      </c>
      <c r="X184" s="40">
        <v>130.0</v>
      </c>
      <c r="Y184" s="39" t="s">
        <v>2027</v>
      </c>
      <c r="Z184" s="41">
        <v>35567.0</v>
      </c>
      <c r="AA184" s="39" t="s">
        <v>163</v>
      </c>
      <c r="AB184" s="39" t="s">
        <v>180</v>
      </c>
      <c r="AC184" s="39" t="s">
        <v>197</v>
      </c>
      <c r="AD184" s="40">
        <v>104000.0</v>
      </c>
      <c r="AE184" s="40">
        <v>104000.0</v>
      </c>
      <c r="AF184" s="39" t="s">
        <v>144</v>
      </c>
      <c r="AG184" s="39" t="s">
        <v>145</v>
      </c>
      <c r="AH184" s="39" t="s">
        <v>264</v>
      </c>
      <c r="AI184" s="42" t="s">
        <v>2028</v>
      </c>
      <c r="AJ184" s="42" t="s">
        <v>2029</v>
      </c>
    </row>
    <row r="185" ht="15.75" customHeight="1">
      <c r="A185" s="40">
        <v>184.0</v>
      </c>
      <c r="B185" s="39" t="s">
        <v>2030</v>
      </c>
      <c r="C185" s="39" t="s">
        <v>2031</v>
      </c>
      <c r="D185" s="39" t="s">
        <v>2032</v>
      </c>
      <c r="E185" s="39" t="s">
        <v>2031</v>
      </c>
      <c r="F185" s="39" t="s">
        <v>152</v>
      </c>
      <c r="G185" s="39" t="s">
        <v>2033</v>
      </c>
      <c r="H185" s="39" t="s">
        <v>2034</v>
      </c>
      <c r="I185" s="39"/>
      <c r="J185" s="39" t="s">
        <v>2035</v>
      </c>
      <c r="K185" s="40">
        <v>4735.0</v>
      </c>
      <c r="L185" s="39" t="s">
        <v>2036</v>
      </c>
      <c r="M185" s="39" t="s">
        <v>222</v>
      </c>
      <c r="N185" s="39" t="s">
        <v>223</v>
      </c>
      <c r="O185" s="39" t="s">
        <v>135</v>
      </c>
      <c r="P185" s="39" t="s">
        <v>136</v>
      </c>
      <c r="Q185" s="40">
        <v>94104.0</v>
      </c>
      <c r="R185" s="39" t="s">
        <v>137</v>
      </c>
      <c r="S185" s="39" t="s">
        <v>16</v>
      </c>
      <c r="T185" s="39" t="s">
        <v>16</v>
      </c>
      <c r="U185" s="39" t="s">
        <v>80</v>
      </c>
      <c r="V185" s="39" t="s">
        <v>139</v>
      </c>
      <c r="W185" s="41">
        <v>44770.0</v>
      </c>
      <c r="X185" s="40">
        <v>158.0</v>
      </c>
      <c r="Y185" s="39" t="s">
        <v>2037</v>
      </c>
      <c r="Z185" s="41">
        <v>34869.0</v>
      </c>
      <c r="AA185" s="39" t="s">
        <v>141</v>
      </c>
      <c r="AB185" s="39" t="s">
        <v>180</v>
      </c>
      <c r="AC185" s="39" t="s">
        <v>197</v>
      </c>
      <c r="AD185" s="40">
        <v>174000.0</v>
      </c>
      <c r="AE185" s="40">
        <v>174000.0</v>
      </c>
      <c r="AF185" s="39" t="s">
        <v>144</v>
      </c>
      <c r="AG185" s="39" t="s">
        <v>145</v>
      </c>
      <c r="AH185" s="39" t="s">
        <v>264</v>
      </c>
      <c r="AI185" s="42" t="s">
        <v>2038</v>
      </c>
      <c r="AJ185" s="42" t="s">
        <v>2039</v>
      </c>
    </row>
    <row r="186" ht="15.75" customHeight="1">
      <c r="A186" s="40">
        <v>185.0</v>
      </c>
      <c r="B186" s="39" t="s">
        <v>2040</v>
      </c>
      <c r="C186" s="39" t="s">
        <v>2041</v>
      </c>
      <c r="D186" s="39" t="s">
        <v>2042</v>
      </c>
      <c r="E186" s="39" t="s">
        <v>2041</v>
      </c>
      <c r="F186" s="39" t="s">
        <v>255</v>
      </c>
      <c r="G186" s="39" t="s">
        <v>2043</v>
      </c>
      <c r="H186" s="39" t="s">
        <v>2044</v>
      </c>
      <c r="I186" s="39"/>
      <c r="J186" s="39" t="s">
        <v>2045</v>
      </c>
      <c r="K186" s="40">
        <v>9303.0</v>
      </c>
      <c r="L186" s="39" t="s">
        <v>2046</v>
      </c>
      <c r="M186" s="39" t="s">
        <v>260</v>
      </c>
      <c r="N186" s="39" t="s">
        <v>261</v>
      </c>
      <c r="O186" s="39" t="s">
        <v>193</v>
      </c>
      <c r="P186" s="39" t="s">
        <v>194</v>
      </c>
      <c r="Q186" s="40">
        <v>10011.0</v>
      </c>
      <c r="R186" s="39" t="s">
        <v>137</v>
      </c>
      <c r="S186" s="39" t="s">
        <v>16</v>
      </c>
      <c r="T186" s="39" t="s">
        <v>16</v>
      </c>
      <c r="U186" s="39" t="s">
        <v>86</v>
      </c>
      <c r="V186" s="39" t="s">
        <v>195</v>
      </c>
      <c r="W186" s="41">
        <v>45000.0</v>
      </c>
      <c r="X186" s="40">
        <v>159.0</v>
      </c>
      <c r="Y186" s="39" t="s">
        <v>2047</v>
      </c>
      <c r="Z186" s="41">
        <v>36885.0</v>
      </c>
      <c r="AA186" s="39" t="s">
        <v>163</v>
      </c>
      <c r="AB186" s="39" t="s">
        <v>180</v>
      </c>
      <c r="AC186" s="39" t="s">
        <v>197</v>
      </c>
      <c r="AD186" s="40">
        <v>194000.0</v>
      </c>
      <c r="AE186" s="40">
        <v>194000.0</v>
      </c>
      <c r="AF186" s="39" t="s">
        <v>144</v>
      </c>
      <c r="AG186" s="39" t="s">
        <v>145</v>
      </c>
      <c r="AH186" s="39" t="s">
        <v>146</v>
      </c>
      <c r="AI186" s="42" t="s">
        <v>2048</v>
      </c>
      <c r="AJ186" s="42" t="s">
        <v>2049</v>
      </c>
    </row>
    <row r="187" ht="15.75" customHeight="1">
      <c r="A187" s="40">
        <v>186.0</v>
      </c>
      <c r="B187" s="39" t="s">
        <v>2050</v>
      </c>
      <c r="C187" s="39" t="s">
        <v>2051</v>
      </c>
      <c r="D187" s="39" t="s">
        <v>2052</v>
      </c>
      <c r="E187" s="39" t="s">
        <v>2051</v>
      </c>
      <c r="F187" s="39" t="s">
        <v>231</v>
      </c>
      <c r="G187" s="39" t="s">
        <v>2053</v>
      </c>
      <c r="H187" s="39" t="s">
        <v>2054</v>
      </c>
      <c r="I187" s="39"/>
      <c r="J187" s="39" t="s">
        <v>2055</v>
      </c>
      <c r="K187" s="40">
        <v>4832.0</v>
      </c>
      <c r="L187" s="39" t="s">
        <v>2056</v>
      </c>
      <c r="M187" s="39" t="s">
        <v>275</v>
      </c>
      <c r="N187" s="39"/>
      <c r="O187" s="39" t="s">
        <v>276</v>
      </c>
      <c r="P187" s="39" t="s">
        <v>277</v>
      </c>
      <c r="Q187" s="40">
        <v>98115.0</v>
      </c>
      <c r="R187" s="39" t="s">
        <v>137</v>
      </c>
      <c r="S187" s="39" t="s">
        <v>16</v>
      </c>
      <c r="T187" s="39" t="s">
        <v>16</v>
      </c>
      <c r="U187" s="39" t="s">
        <v>81</v>
      </c>
      <c r="V187" s="39" t="s">
        <v>161</v>
      </c>
      <c r="W187" s="41">
        <v>45286.0</v>
      </c>
      <c r="X187" s="40">
        <v>217.0</v>
      </c>
      <c r="Y187" s="39" t="s">
        <v>2057</v>
      </c>
      <c r="Z187" s="41">
        <v>37357.0</v>
      </c>
      <c r="AA187" s="39" t="s">
        <v>163</v>
      </c>
      <c r="AB187" s="39" t="s">
        <v>142</v>
      </c>
      <c r="AC187" s="39" t="s">
        <v>292</v>
      </c>
      <c r="AD187" s="40">
        <v>185000.0</v>
      </c>
      <c r="AE187" s="40">
        <v>185000.0</v>
      </c>
      <c r="AF187" s="39" t="s">
        <v>144</v>
      </c>
      <c r="AG187" s="39" t="s">
        <v>145</v>
      </c>
      <c r="AH187" s="39" t="s">
        <v>293</v>
      </c>
      <c r="AI187" s="42" t="s">
        <v>2058</v>
      </c>
      <c r="AJ187" s="42" t="s">
        <v>2059</v>
      </c>
    </row>
    <row r="188" ht="15.75" customHeight="1">
      <c r="A188" s="40">
        <v>187.0</v>
      </c>
      <c r="B188" s="39" t="s">
        <v>2060</v>
      </c>
      <c r="C188" s="39" t="s">
        <v>2061</v>
      </c>
      <c r="D188" s="39" t="s">
        <v>2062</v>
      </c>
      <c r="E188" s="39" t="s">
        <v>2061</v>
      </c>
      <c r="F188" s="39" t="s">
        <v>186</v>
      </c>
      <c r="G188" s="39" t="s">
        <v>2063</v>
      </c>
      <c r="H188" s="39" t="s">
        <v>2064</v>
      </c>
      <c r="I188" s="39"/>
      <c r="J188" s="39" t="s">
        <v>2065</v>
      </c>
      <c r="K188" s="40">
        <v>4405.0</v>
      </c>
      <c r="L188" s="39" t="s">
        <v>2066</v>
      </c>
      <c r="M188" s="39" t="s">
        <v>133</v>
      </c>
      <c r="N188" s="39" t="s">
        <v>134</v>
      </c>
      <c r="O188" s="39" t="s">
        <v>135</v>
      </c>
      <c r="P188" s="39" t="s">
        <v>136</v>
      </c>
      <c r="Q188" s="40">
        <v>94108.0</v>
      </c>
      <c r="R188" s="39" t="s">
        <v>137</v>
      </c>
      <c r="S188" s="39" t="s">
        <v>16</v>
      </c>
      <c r="T188" s="39" t="s">
        <v>16</v>
      </c>
      <c r="U188" s="39" t="s">
        <v>85</v>
      </c>
      <c r="V188" s="39" t="s">
        <v>139</v>
      </c>
      <c r="W188" s="41">
        <v>44605.0</v>
      </c>
      <c r="X188" s="40">
        <v>217.0</v>
      </c>
      <c r="Y188" s="39" t="s">
        <v>2067</v>
      </c>
      <c r="Z188" s="41">
        <v>29911.0</v>
      </c>
      <c r="AA188" s="39" t="s">
        <v>163</v>
      </c>
      <c r="AB188" s="39" t="s">
        <v>180</v>
      </c>
      <c r="AC188" s="39" t="s">
        <v>197</v>
      </c>
      <c r="AD188" s="40">
        <v>200000.0</v>
      </c>
      <c r="AE188" s="40">
        <v>200000.0</v>
      </c>
      <c r="AF188" s="39" t="s">
        <v>144</v>
      </c>
      <c r="AG188" s="39" t="s">
        <v>145</v>
      </c>
      <c r="AH188" s="39" t="s">
        <v>146</v>
      </c>
      <c r="AI188" s="42" t="s">
        <v>2068</v>
      </c>
      <c r="AJ188" s="42" t="s">
        <v>2069</v>
      </c>
    </row>
    <row r="189" ht="15.75" customHeight="1">
      <c r="A189" s="40">
        <v>188.0</v>
      </c>
      <c r="B189" s="39" t="s">
        <v>2070</v>
      </c>
      <c r="C189" s="39" t="s">
        <v>2071</v>
      </c>
      <c r="D189" s="39" t="s">
        <v>2072</v>
      </c>
      <c r="E189" s="39" t="s">
        <v>2071</v>
      </c>
      <c r="F189" s="39" t="s">
        <v>186</v>
      </c>
      <c r="G189" s="39" t="s">
        <v>2073</v>
      </c>
      <c r="H189" s="39" t="s">
        <v>2074</v>
      </c>
      <c r="I189" s="39"/>
      <c r="J189" s="39" t="s">
        <v>2075</v>
      </c>
      <c r="K189" s="40">
        <v>3285.0</v>
      </c>
      <c r="L189" s="39" t="s">
        <v>2076</v>
      </c>
      <c r="M189" s="39" t="s">
        <v>222</v>
      </c>
      <c r="N189" s="39" t="s">
        <v>223</v>
      </c>
      <c r="O189" s="39" t="s">
        <v>135</v>
      </c>
      <c r="P189" s="39" t="s">
        <v>136</v>
      </c>
      <c r="Q189" s="40">
        <v>94104.0</v>
      </c>
      <c r="R189" s="39" t="s">
        <v>137</v>
      </c>
      <c r="S189" s="39" t="s">
        <v>19</v>
      </c>
      <c r="T189" s="39" t="s">
        <v>236</v>
      </c>
      <c r="U189" s="39" t="s">
        <v>71</v>
      </c>
      <c r="V189" s="39" t="s">
        <v>139</v>
      </c>
      <c r="W189" s="41">
        <v>45633.0</v>
      </c>
      <c r="X189" s="40">
        <v>97.0</v>
      </c>
      <c r="Y189" s="39" t="s">
        <v>2077</v>
      </c>
      <c r="Z189" s="41">
        <v>34575.0</v>
      </c>
      <c r="AA189" s="39" t="s">
        <v>163</v>
      </c>
      <c r="AB189" s="39" t="s">
        <v>180</v>
      </c>
      <c r="AC189" s="39" t="s">
        <v>197</v>
      </c>
      <c r="AD189" s="40">
        <v>102000.0</v>
      </c>
      <c r="AE189" s="40">
        <v>102000.0</v>
      </c>
      <c r="AF189" s="39" t="s">
        <v>144</v>
      </c>
      <c r="AG189" s="39" t="s">
        <v>145</v>
      </c>
      <c r="AH189" s="39" t="s">
        <v>293</v>
      </c>
      <c r="AI189" s="42" t="s">
        <v>2078</v>
      </c>
      <c r="AJ189" s="42" t="s">
        <v>2079</v>
      </c>
    </row>
    <row r="190" ht="15.75" customHeight="1">
      <c r="A190" s="40">
        <v>189.0</v>
      </c>
      <c r="B190" s="39" t="s">
        <v>2080</v>
      </c>
      <c r="C190" s="39" t="s">
        <v>2081</v>
      </c>
      <c r="D190" s="39" t="s">
        <v>2082</v>
      </c>
      <c r="E190" s="39" t="s">
        <v>2081</v>
      </c>
      <c r="F190" s="39" t="s">
        <v>374</v>
      </c>
      <c r="G190" s="39" t="s">
        <v>2083</v>
      </c>
      <c r="H190" s="39" t="s">
        <v>2084</v>
      </c>
      <c r="I190" s="39"/>
      <c r="J190" s="39" t="s">
        <v>2085</v>
      </c>
      <c r="K190" s="40">
        <v>5157.0</v>
      </c>
      <c r="L190" s="39" t="s">
        <v>2086</v>
      </c>
      <c r="M190" s="39" t="s">
        <v>1300</v>
      </c>
      <c r="N190" s="39"/>
      <c r="O190" s="39" t="s">
        <v>1301</v>
      </c>
      <c r="P190" s="39" t="s">
        <v>1302</v>
      </c>
      <c r="Q190" s="40">
        <v>97477.0</v>
      </c>
      <c r="R190" s="39" t="s">
        <v>137</v>
      </c>
      <c r="S190" s="39" t="s">
        <v>19</v>
      </c>
      <c r="T190" s="39" t="s">
        <v>160</v>
      </c>
      <c r="U190" s="39" t="s">
        <v>73</v>
      </c>
      <c r="V190" s="39" t="s">
        <v>161</v>
      </c>
      <c r="W190" s="41">
        <v>45915.0</v>
      </c>
      <c r="X190" s="40">
        <v>142.0</v>
      </c>
      <c r="Y190" s="39" t="s">
        <v>2087</v>
      </c>
      <c r="Z190" s="41">
        <v>36540.0</v>
      </c>
      <c r="AA190" s="39" t="s">
        <v>141</v>
      </c>
      <c r="AB190" s="39" t="s">
        <v>180</v>
      </c>
      <c r="AC190" s="39" t="s">
        <v>279</v>
      </c>
      <c r="AD190" s="40">
        <v>136000.0</v>
      </c>
      <c r="AE190" s="40">
        <v>136000.0</v>
      </c>
      <c r="AF190" s="39" t="s">
        <v>144</v>
      </c>
      <c r="AG190" s="39" t="s">
        <v>145</v>
      </c>
      <c r="AH190" s="39" t="s">
        <v>146</v>
      </c>
      <c r="AI190" s="42" t="s">
        <v>2088</v>
      </c>
      <c r="AJ190" s="42" t="s">
        <v>2089</v>
      </c>
    </row>
    <row r="191" ht="15.75" customHeight="1">
      <c r="A191" s="40">
        <v>190.0</v>
      </c>
      <c r="B191" s="39" t="s">
        <v>2090</v>
      </c>
      <c r="C191" s="39" t="s">
        <v>2091</v>
      </c>
      <c r="D191" s="39" t="s">
        <v>2092</v>
      </c>
      <c r="E191" s="39" t="s">
        <v>2091</v>
      </c>
      <c r="F191" s="39" t="s">
        <v>152</v>
      </c>
      <c r="G191" s="39" t="s">
        <v>2093</v>
      </c>
      <c r="H191" s="39" t="s">
        <v>2094</v>
      </c>
      <c r="I191" s="39"/>
      <c r="J191" s="39" t="s">
        <v>2095</v>
      </c>
      <c r="K191" s="40">
        <v>7584.0</v>
      </c>
      <c r="L191" s="39" t="s">
        <v>2096</v>
      </c>
      <c r="M191" s="39" t="s">
        <v>222</v>
      </c>
      <c r="N191" s="39" t="s">
        <v>223</v>
      </c>
      <c r="O191" s="39" t="s">
        <v>135</v>
      </c>
      <c r="P191" s="39" t="s">
        <v>136</v>
      </c>
      <c r="Q191" s="40">
        <v>94104.0</v>
      </c>
      <c r="R191" s="39" t="s">
        <v>137</v>
      </c>
      <c r="S191" s="39" t="s">
        <v>19</v>
      </c>
      <c r="T191" s="39" t="s">
        <v>236</v>
      </c>
      <c r="U191" s="39" t="s">
        <v>77</v>
      </c>
      <c r="V191" s="39" t="s">
        <v>139</v>
      </c>
      <c r="W191" s="41">
        <v>45247.0</v>
      </c>
      <c r="X191" s="40">
        <v>111.0</v>
      </c>
      <c r="Y191" s="39" t="s">
        <v>2097</v>
      </c>
      <c r="Z191" s="41">
        <v>36580.0</v>
      </c>
      <c r="AA191" s="39" t="s">
        <v>141</v>
      </c>
      <c r="AB191" s="39" t="s">
        <v>180</v>
      </c>
      <c r="AC191" s="39" t="s">
        <v>197</v>
      </c>
      <c r="AD191" s="40">
        <v>156000.0</v>
      </c>
      <c r="AE191" s="40">
        <v>156000.0</v>
      </c>
      <c r="AF191" s="39" t="s">
        <v>144</v>
      </c>
      <c r="AG191" s="39" t="s">
        <v>145</v>
      </c>
      <c r="AH191" s="39" t="s">
        <v>293</v>
      </c>
      <c r="AI191" s="42" t="s">
        <v>2098</v>
      </c>
      <c r="AJ191" s="42" t="s">
        <v>2099</v>
      </c>
    </row>
    <row r="192" ht="15.75" customHeight="1">
      <c r="A192" s="40">
        <v>191.0</v>
      </c>
      <c r="B192" s="39" t="s">
        <v>2100</v>
      </c>
      <c r="C192" s="39" t="s">
        <v>2101</v>
      </c>
      <c r="D192" s="39" t="s">
        <v>2102</v>
      </c>
      <c r="E192" s="39" t="s">
        <v>2101</v>
      </c>
      <c r="F192" s="39" t="s">
        <v>231</v>
      </c>
      <c r="G192" s="39" t="s">
        <v>2103</v>
      </c>
      <c r="H192" s="39" t="s">
        <v>2104</v>
      </c>
      <c r="I192" s="39"/>
      <c r="J192" s="39" t="s">
        <v>2105</v>
      </c>
      <c r="K192" s="40">
        <v>224.0</v>
      </c>
      <c r="L192" s="39" t="s">
        <v>2106</v>
      </c>
      <c r="M192" s="39" t="s">
        <v>260</v>
      </c>
      <c r="N192" s="39" t="s">
        <v>261</v>
      </c>
      <c r="O192" s="39" t="s">
        <v>193</v>
      </c>
      <c r="P192" s="39" t="s">
        <v>194</v>
      </c>
      <c r="Q192" s="40">
        <v>10011.0</v>
      </c>
      <c r="R192" s="39" t="s">
        <v>137</v>
      </c>
      <c r="S192" s="39" t="s">
        <v>19</v>
      </c>
      <c r="T192" s="39" t="s">
        <v>160</v>
      </c>
      <c r="U192" s="39" t="s">
        <v>73</v>
      </c>
      <c r="V192" s="39" t="s">
        <v>195</v>
      </c>
      <c r="W192" s="41">
        <v>45717.0</v>
      </c>
      <c r="X192" s="40">
        <v>143.0</v>
      </c>
      <c r="Y192" s="39" t="s">
        <v>2107</v>
      </c>
      <c r="Z192" s="41">
        <v>34676.0</v>
      </c>
      <c r="AA192" s="39" t="s">
        <v>163</v>
      </c>
      <c r="AB192" s="39" t="s">
        <v>180</v>
      </c>
      <c r="AC192" s="39" t="s">
        <v>211</v>
      </c>
      <c r="AD192" s="40">
        <v>104000.0</v>
      </c>
      <c r="AE192" s="40">
        <v>104000.0</v>
      </c>
      <c r="AF192" s="39" t="s">
        <v>144</v>
      </c>
      <c r="AG192" s="39" t="s">
        <v>145</v>
      </c>
      <c r="AH192" s="39" t="s">
        <v>293</v>
      </c>
      <c r="AI192" s="42" t="s">
        <v>2108</v>
      </c>
      <c r="AJ192" s="42" t="s">
        <v>2109</v>
      </c>
    </row>
    <row r="193" ht="15.75" customHeight="1">
      <c r="A193" s="40">
        <v>192.0</v>
      </c>
      <c r="B193" s="39" t="s">
        <v>2110</v>
      </c>
      <c r="C193" s="39" t="s">
        <v>2111</v>
      </c>
      <c r="D193" s="39" t="s">
        <v>2112</v>
      </c>
      <c r="E193" s="39" t="s">
        <v>2111</v>
      </c>
      <c r="F193" s="39" t="s">
        <v>231</v>
      </c>
      <c r="G193" s="39" t="s">
        <v>2113</v>
      </c>
      <c r="H193" s="39" t="s">
        <v>2114</v>
      </c>
      <c r="I193" s="39"/>
      <c r="J193" s="39" t="s">
        <v>2115</v>
      </c>
      <c r="K193" s="40">
        <v>4537.0</v>
      </c>
      <c r="L193" s="39" t="s">
        <v>2116</v>
      </c>
      <c r="M193" s="39" t="s">
        <v>903</v>
      </c>
      <c r="N193" s="39"/>
      <c r="O193" s="39" t="s">
        <v>174</v>
      </c>
      <c r="P193" s="39" t="s">
        <v>175</v>
      </c>
      <c r="Q193" s="39" t="s">
        <v>904</v>
      </c>
      <c r="R193" s="39" t="s">
        <v>177</v>
      </c>
      <c r="S193" s="39" t="s">
        <v>19</v>
      </c>
      <c r="T193" s="39" t="s">
        <v>236</v>
      </c>
      <c r="U193" s="39" t="s">
        <v>68</v>
      </c>
      <c r="V193" s="39" t="s">
        <v>178</v>
      </c>
      <c r="W193" s="41">
        <v>45476.0</v>
      </c>
      <c r="X193" s="40">
        <v>130.0</v>
      </c>
      <c r="Y193" s="39" t="s">
        <v>2117</v>
      </c>
      <c r="Z193" s="41">
        <v>35850.0</v>
      </c>
      <c r="AA193" s="39" t="s">
        <v>141</v>
      </c>
      <c r="AB193" s="39" t="s">
        <v>180</v>
      </c>
      <c r="AC193" s="39" t="s">
        <v>197</v>
      </c>
      <c r="AD193" s="40">
        <v>113000.0</v>
      </c>
      <c r="AE193" s="40">
        <v>113000.0</v>
      </c>
      <c r="AF193" s="39" t="s">
        <v>144</v>
      </c>
      <c r="AG193" s="39" t="s">
        <v>145</v>
      </c>
      <c r="AH193" s="39" t="s">
        <v>264</v>
      </c>
      <c r="AI193" s="42" t="s">
        <v>2118</v>
      </c>
      <c r="AJ193" s="42" t="s">
        <v>2119</v>
      </c>
    </row>
    <row r="194" ht="15.75" customHeight="1">
      <c r="A194" s="40">
        <v>193.0</v>
      </c>
      <c r="B194" s="39" t="s">
        <v>2120</v>
      </c>
      <c r="C194" s="39" t="s">
        <v>2121</v>
      </c>
      <c r="D194" s="39" t="s">
        <v>2122</v>
      </c>
      <c r="E194" s="39" t="s">
        <v>2121</v>
      </c>
      <c r="F194" s="39" t="s">
        <v>427</v>
      </c>
      <c r="G194" s="39" t="s">
        <v>2123</v>
      </c>
      <c r="H194" s="39" t="s">
        <v>2124</v>
      </c>
      <c r="I194" s="39"/>
      <c r="J194" s="39" t="s">
        <v>2125</v>
      </c>
      <c r="K194" s="40">
        <v>1303.0</v>
      </c>
      <c r="L194" s="39" t="s">
        <v>2126</v>
      </c>
      <c r="M194" s="39" t="s">
        <v>133</v>
      </c>
      <c r="N194" s="39" t="s">
        <v>134</v>
      </c>
      <c r="O194" s="39" t="s">
        <v>135</v>
      </c>
      <c r="P194" s="39" t="s">
        <v>136</v>
      </c>
      <c r="Q194" s="40">
        <v>94108.0</v>
      </c>
      <c r="R194" s="39" t="s">
        <v>137</v>
      </c>
      <c r="S194" s="39" t="s">
        <v>18</v>
      </c>
      <c r="T194" s="39" t="s">
        <v>572</v>
      </c>
      <c r="U194" s="39" t="s">
        <v>65</v>
      </c>
      <c r="V194" s="39" t="s">
        <v>139</v>
      </c>
      <c r="W194" s="41">
        <v>45354.0</v>
      </c>
      <c r="X194" s="40">
        <v>236.0</v>
      </c>
      <c r="Y194" s="39" t="s">
        <v>2127</v>
      </c>
      <c r="Z194" s="41">
        <v>25820.0</v>
      </c>
      <c r="AA194" s="39" t="s">
        <v>163</v>
      </c>
      <c r="AB194" s="39" t="s">
        <v>180</v>
      </c>
      <c r="AC194" s="39" t="s">
        <v>197</v>
      </c>
      <c r="AD194" s="40">
        <v>348000.0</v>
      </c>
      <c r="AE194" s="40">
        <v>348000.0</v>
      </c>
      <c r="AF194" s="39" t="s">
        <v>144</v>
      </c>
      <c r="AG194" s="39" t="s">
        <v>145</v>
      </c>
      <c r="AH194" s="39" t="s">
        <v>264</v>
      </c>
      <c r="AI194" s="42" t="s">
        <v>2128</v>
      </c>
      <c r="AJ194" s="42" t="s">
        <v>2129</v>
      </c>
    </row>
    <row r="195" ht="15.75" customHeight="1">
      <c r="A195" s="40">
        <v>194.0</v>
      </c>
      <c r="B195" s="39" t="s">
        <v>2130</v>
      </c>
      <c r="C195" s="39" t="s">
        <v>2131</v>
      </c>
      <c r="D195" s="39" t="s">
        <v>2132</v>
      </c>
      <c r="E195" s="39" t="s">
        <v>2131</v>
      </c>
      <c r="F195" s="39" t="s">
        <v>270</v>
      </c>
      <c r="G195" s="39" t="s">
        <v>2133</v>
      </c>
      <c r="H195" s="39" t="s">
        <v>2134</v>
      </c>
      <c r="I195" s="39"/>
      <c r="J195" s="39" t="s">
        <v>2135</v>
      </c>
      <c r="K195" s="40">
        <v>3748.0</v>
      </c>
      <c r="L195" s="39" t="s">
        <v>2136</v>
      </c>
      <c r="M195" s="39" t="s">
        <v>839</v>
      </c>
      <c r="N195" s="39" t="s">
        <v>840</v>
      </c>
      <c r="O195" s="39" t="s">
        <v>841</v>
      </c>
      <c r="P195" s="39" t="s">
        <v>842</v>
      </c>
      <c r="Q195" s="40">
        <v>30309.0</v>
      </c>
      <c r="R195" s="39" t="s">
        <v>137</v>
      </c>
      <c r="S195" s="39" t="s">
        <v>17</v>
      </c>
      <c r="T195" s="39" t="s">
        <v>17</v>
      </c>
      <c r="U195" s="39" t="s">
        <v>50</v>
      </c>
      <c r="V195" s="39" t="s">
        <v>161</v>
      </c>
      <c r="W195" s="41">
        <v>44795.0</v>
      </c>
      <c r="X195" s="40">
        <v>70.0</v>
      </c>
      <c r="Y195" s="39" t="s">
        <v>2137</v>
      </c>
      <c r="Z195" s="41">
        <v>34530.0</v>
      </c>
      <c r="AA195" s="39" t="s">
        <v>163</v>
      </c>
      <c r="AB195" s="39" t="s">
        <v>142</v>
      </c>
      <c r="AC195" s="39" t="s">
        <v>197</v>
      </c>
      <c r="AD195" s="40">
        <v>128000.0</v>
      </c>
      <c r="AE195" s="40">
        <v>128000.0</v>
      </c>
      <c r="AF195" s="39" t="s">
        <v>144</v>
      </c>
      <c r="AG195" s="39" t="s">
        <v>145</v>
      </c>
      <c r="AH195" s="39" t="s">
        <v>146</v>
      </c>
      <c r="AI195" s="42" t="s">
        <v>2138</v>
      </c>
      <c r="AJ195" s="42" t="s">
        <v>2139</v>
      </c>
    </row>
    <row r="196" ht="15.75" customHeight="1">
      <c r="A196" s="40">
        <v>195.0</v>
      </c>
      <c r="B196" s="39" t="s">
        <v>2140</v>
      </c>
      <c r="C196" s="39" t="s">
        <v>2141</v>
      </c>
      <c r="D196" s="39" t="s">
        <v>2142</v>
      </c>
      <c r="E196" s="39" t="s">
        <v>2141</v>
      </c>
      <c r="F196" s="39" t="s">
        <v>186</v>
      </c>
      <c r="G196" s="39" t="s">
        <v>2143</v>
      </c>
      <c r="H196" s="39" t="s">
        <v>2144</v>
      </c>
      <c r="I196" s="39"/>
      <c r="J196" s="39" t="s">
        <v>2145</v>
      </c>
      <c r="K196" s="40">
        <v>8208.0</v>
      </c>
      <c r="L196" s="39" t="s">
        <v>2146</v>
      </c>
      <c r="M196" s="39" t="s">
        <v>275</v>
      </c>
      <c r="N196" s="39"/>
      <c r="O196" s="39" t="s">
        <v>276</v>
      </c>
      <c r="P196" s="39" t="s">
        <v>277</v>
      </c>
      <c r="Q196" s="40">
        <v>98115.0</v>
      </c>
      <c r="R196" s="39" t="s">
        <v>137</v>
      </c>
      <c r="S196" s="39" t="s">
        <v>16</v>
      </c>
      <c r="T196" s="39" t="s">
        <v>16</v>
      </c>
      <c r="U196" s="39" t="s">
        <v>80</v>
      </c>
      <c r="V196" s="39" t="s">
        <v>161</v>
      </c>
      <c r="W196" s="41">
        <v>45727.0</v>
      </c>
      <c r="X196" s="40">
        <v>219.0</v>
      </c>
      <c r="Y196" s="39" t="s">
        <v>2147</v>
      </c>
      <c r="Z196" s="41">
        <v>37455.0</v>
      </c>
      <c r="AA196" s="39" t="s">
        <v>141</v>
      </c>
      <c r="AB196" s="39" t="s">
        <v>142</v>
      </c>
      <c r="AC196" s="39" t="s">
        <v>197</v>
      </c>
      <c r="AD196" s="40">
        <v>112000.0</v>
      </c>
      <c r="AE196" s="40">
        <v>112000.0</v>
      </c>
      <c r="AF196" s="39" t="s">
        <v>144</v>
      </c>
      <c r="AG196" s="39" t="s">
        <v>145</v>
      </c>
      <c r="AH196" s="39" t="s">
        <v>293</v>
      </c>
      <c r="AI196" s="42" t="s">
        <v>2148</v>
      </c>
      <c r="AJ196" s="42" t="s">
        <v>2149</v>
      </c>
    </row>
    <row r="197" ht="15.75" customHeight="1">
      <c r="A197" s="40">
        <v>196.0</v>
      </c>
      <c r="B197" s="39" t="s">
        <v>2150</v>
      </c>
      <c r="C197" s="39" t="s">
        <v>2151</v>
      </c>
      <c r="D197" s="39" t="s">
        <v>2152</v>
      </c>
      <c r="E197" s="39" t="s">
        <v>2151</v>
      </c>
      <c r="F197" s="39" t="s">
        <v>231</v>
      </c>
      <c r="G197" s="39" t="s">
        <v>2153</v>
      </c>
      <c r="H197" s="39" t="s">
        <v>2154</v>
      </c>
      <c r="I197" s="39"/>
      <c r="J197" s="39" t="s">
        <v>2155</v>
      </c>
      <c r="K197" s="40">
        <v>911.0</v>
      </c>
      <c r="L197" s="39" t="s">
        <v>2156</v>
      </c>
      <c r="M197" s="39" t="s">
        <v>1300</v>
      </c>
      <c r="N197" s="39"/>
      <c r="O197" s="39" t="s">
        <v>1301</v>
      </c>
      <c r="P197" s="39" t="s">
        <v>1302</v>
      </c>
      <c r="Q197" s="40">
        <v>97477.0</v>
      </c>
      <c r="R197" s="39" t="s">
        <v>137</v>
      </c>
      <c r="S197" s="39" t="s">
        <v>16</v>
      </c>
      <c r="T197" s="39" t="s">
        <v>16</v>
      </c>
      <c r="U197" s="39" t="s">
        <v>87</v>
      </c>
      <c r="V197" s="39" t="s">
        <v>161</v>
      </c>
      <c r="W197" s="41">
        <v>45142.0</v>
      </c>
      <c r="X197" s="40">
        <v>219.0</v>
      </c>
      <c r="Y197" s="39" t="s">
        <v>2157</v>
      </c>
      <c r="Z197" s="41">
        <v>31313.0</v>
      </c>
      <c r="AA197" s="39" t="s">
        <v>163</v>
      </c>
      <c r="AB197" s="39" t="s">
        <v>180</v>
      </c>
      <c r="AC197" s="39" t="s">
        <v>197</v>
      </c>
      <c r="AD197" s="40">
        <v>126000.0</v>
      </c>
      <c r="AE197" s="40">
        <v>126000.0</v>
      </c>
      <c r="AF197" s="39" t="s">
        <v>144</v>
      </c>
      <c r="AG197" s="39" t="s">
        <v>145</v>
      </c>
      <c r="AH197" s="39" t="s">
        <v>264</v>
      </c>
      <c r="AI197" s="42" t="s">
        <v>2158</v>
      </c>
      <c r="AJ197" s="42" t="s">
        <v>2159</v>
      </c>
    </row>
    <row r="198" ht="15.75" customHeight="1">
      <c r="A198" s="40">
        <v>197.0</v>
      </c>
      <c r="B198" s="39" t="s">
        <v>2160</v>
      </c>
      <c r="C198" s="39" t="s">
        <v>2161</v>
      </c>
      <c r="D198" s="39" t="s">
        <v>2162</v>
      </c>
      <c r="E198" s="39" t="s">
        <v>2161</v>
      </c>
      <c r="F198" s="39" t="s">
        <v>186</v>
      </c>
      <c r="G198" s="39" t="s">
        <v>2163</v>
      </c>
      <c r="H198" s="39" t="s">
        <v>2164</v>
      </c>
      <c r="I198" s="39"/>
      <c r="J198" s="39" t="s">
        <v>2165</v>
      </c>
      <c r="K198" s="40">
        <v>8904.0</v>
      </c>
      <c r="L198" s="39" t="s">
        <v>2166</v>
      </c>
      <c r="M198" s="39" t="s">
        <v>314</v>
      </c>
      <c r="N198" s="39" t="s">
        <v>315</v>
      </c>
      <c r="O198" s="39" t="s">
        <v>193</v>
      </c>
      <c r="P198" s="39" t="s">
        <v>194</v>
      </c>
      <c r="Q198" s="40">
        <v>10007.0</v>
      </c>
      <c r="R198" s="39" t="s">
        <v>137</v>
      </c>
      <c r="S198" s="39" t="s">
        <v>19</v>
      </c>
      <c r="T198" s="39" t="s">
        <v>236</v>
      </c>
      <c r="U198" s="39" t="s">
        <v>72</v>
      </c>
      <c r="V198" s="39" t="s">
        <v>195</v>
      </c>
      <c r="W198" s="41">
        <v>45659.0</v>
      </c>
      <c r="X198" s="40">
        <v>161.0</v>
      </c>
      <c r="Y198" s="39" t="s">
        <v>2167</v>
      </c>
      <c r="Z198" s="41">
        <v>31923.0</v>
      </c>
      <c r="AA198" s="39" t="s">
        <v>163</v>
      </c>
      <c r="AB198" s="39" t="s">
        <v>180</v>
      </c>
      <c r="AC198" s="39" t="s">
        <v>181</v>
      </c>
      <c r="AD198" s="40">
        <v>109000.0</v>
      </c>
      <c r="AE198" s="40">
        <v>109000.0</v>
      </c>
      <c r="AF198" s="39" t="s">
        <v>144</v>
      </c>
      <c r="AG198" s="39" t="s">
        <v>145</v>
      </c>
      <c r="AH198" s="39" t="s">
        <v>146</v>
      </c>
      <c r="AI198" s="42" t="s">
        <v>2168</v>
      </c>
      <c r="AJ198" s="42" t="s">
        <v>2169</v>
      </c>
    </row>
    <row r="199" ht="15.75" customHeight="1">
      <c r="A199" s="40">
        <v>198.0</v>
      </c>
      <c r="B199" s="39" t="s">
        <v>2170</v>
      </c>
      <c r="C199" s="39" t="s">
        <v>2171</v>
      </c>
      <c r="D199" s="39" t="s">
        <v>2172</v>
      </c>
      <c r="E199" s="39" t="s">
        <v>2171</v>
      </c>
      <c r="F199" s="39" t="s">
        <v>255</v>
      </c>
      <c r="G199" s="39" t="s">
        <v>2173</v>
      </c>
      <c r="H199" s="39" t="s">
        <v>2174</v>
      </c>
      <c r="I199" s="39"/>
      <c r="J199" s="39" t="s">
        <v>2175</v>
      </c>
      <c r="K199" s="40">
        <v>645.0</v>
      </c>
      <c r="L199" s="39" t="s">
        <v>2176</v>
      </c>
      <c r="M199" s="39" t="s">
        <v>222</v>
      </c>
      <c r="N199" s="39" t="s">
        <v>223</v>
      </c>
      <c r="O199" s="39" t="s">
        <v>135</v>
      </c>
      <c r="P199" s="39" t="s">
        <v>136</v>
      </c>
      <c r="Q199" s="40">
        <v>94104.0</v>
      </c>
      <c r="R199" s="39" t="s">
        <v>137</v>
      </c>
      <c r="S199" s="39" t="s">
        <v>19</v>
      </c>
      <c r="T199" s="39" t="s">
        <v>160</v>
      </c>
      <c r="U199" s="39" t="s">
        <v>77</v>
      </c>
      <c r="V199" s="39" t="s">
        <v>139</v>
      </c>
      <c r="W199" s="41">
        <v>44607.0</v>
      </c>
      <c r="X199" s="40">
        <v>151.0</v>
      </c>
      <c r="Y199" s="39" t="s">
        <v>2177</v>
      </c>
      <c r="Z199" s="41">
        <v>35316.0</v>
      </c>
      <c r="AA199" s="39" t="s">
        <v>141</v>
      </c>
      <c r="AB199" s="39" t="s">
        <v>180</v>
      </c>
      <c r="AC199" s="39" t="s">
        <v>197</v>
      </c>
      <c r="AD199" s="40">
        <v>135000.0</v>
      </c>
      <c r="AE199" s="40">
        <v>135000.0</v>
      </c>
      <c r="AF199" s="39" t="s">
        <v>144</v>
      </c>
      <c r="AG199" s="39" t="s">
        <v>145</v>
      </c>
      <c r="AH199" s="39" t="s">
        <v>146</v>
      </c>
      <c r="AI199" s="42" t="s">
        <v>2178</v>
      </c>
      <c r="AJ199" s="42" t="s">
        <v>2179</v>
      </c>
    </row>
    <row r="200" ht="15.75" customHeight="1">
      <c r="A200" s="40">
        <v>199.0</v>
      </c>
      <c r="B200" s="39" t="s">
        <v>2180</v>
      </c>
      <c r="C200" s="39" t="s">
        <v>2181</v>
      </c>
      <c r="D200" s="39" t="s">
        <v>2182</v>
      </c>
      <c r="E200" s="39" t="s">
        <v>2181</v>
      </c>
      <c r="F200" s="39" t="s">
        <v>255</v>
      </c>
      <c r="G200" s="39" t="s">
        <v>2183</v>
      </c>
      <c r="H200" s="39" t="s">
        <v>2184</v>
      </c>
      <c r="I200" s="39"/>
      <c r="J200" s="39" t="s">
        <v>2185</v>
      </c>
      <c r="K200" s="40">
        <v>2771.0</v>
      </c>
      <c r="L200" s="39" t="s">
        <v>2186</v>
      </c>
      <c r="M200" s="39" t="s">
        <v>222</v>
      </c>
      <c r="N200" s="39" t="s">
        <v>223</v>
      </c>
      <c r="O200" s="39" t="s">
        <v>135</v>
      </c>
      <c r="P200" s="39" t="s">
        <v>136</v>
      </c>
      <c r="Q200" s="40">
        <v>94104.0</v>
      </c>
      <c r="R200" s="39" t="s">
        <v>137</v>
      </c>
      <c r="S200" s="39" t="s">
        <v>19</v>
      </c>
      <c r="T200" s="39" t="s">
        <v>138</v>
      </c>
      <c r="U200" s="39" t="s">
        <v>68</v>
      </c>
      <c r="V200" s="39" t="s">
        <v>139</v>
      </c>
      <c r="W200" s="41">
        <v>44792.0</v>
      </c>
      <c r="X200" s="40">
        <v>75.0</v>
      </c>
      <c r="Y200" s="39" t="s">
        <v>2187</v>
      </c>
      <c r="Z200" s="41">
        <v>35673.0</v>
      </c>
      <c r="AA200" s="39" t="s">
        <v>163</v>
      </c>
      <c r="AB200" s="39" t="s">
        <v>180</v>
      </c>
      <c r="AC200" s="39" t="s">
        <v>143</v>
      </c>
      <c r="AD200" s="40">
        <v>110000.0</v>
      </c>
      <c r="AE200" s="40">
        <v>110000.0</v>
      </c>
      <c r="AF200" s="39" t="s">
        <v>144</v>
      </c>
      <c r="AG200" s="39" t="s">
        <v>145</v>
      </c>
      <c r="AH200" s="39" t="s">
        <v>264</v>
      </c>
      <c r="AI200" s="42" t="s">
        <v>2188</v>
      </c>
      <c r="AJ200" s="42" t="s">
        <v>2189</v>
      </c>
    </row>
    <row r="201" ht="15.75" customHeight="1">
      <c r="A201" s="40">
        <v>200.0</v>
      </c>
      <c r="B201" s="39" t="s">
        <v>2190</v>
      </c>
      <c r="C201" s="39" t="s">
        <v>2191</v>
      </c>
      <c r="D201" s="39" t="s">
        <v>2192</v>
      </c>
      <c r="E201" s="39" t="s">
        <v>2191</v>
      </c>
      <c r="F201" s="39" t="s">
        <v>128</v>
      </c>
      <c r="G201" s="39" t="s">
        <v>2193</v>
      </c>
      <c r="H201" s="39" t="s">
        <v>2194</v>
      </c>
      <c r="I201" s="39"/>
      <c r="J201" s="39" t="s">
        <v>2195</v>
      </c>
      <c r="K201" s="40">
        <v>185.0</v>
      </c>
      <c r="L201" s="39" t="s">
        <v>2196</v>
      </c>
      <c r="M201" s="39" t="s">
        <v>222</v>
      </c>
      <c r="N201" s="39" t="s">
        <v>223</v>
      </c>
      <c r="O201" s="39" t="s">
        <v>135</v>
      </c>
      <c r="P201" s="39" t="s">
        <v>136</v>
      </c>
      <c r="Q201" s="40">
        <v>94104.0</v>
      </c>
      <c r="R201" s="39" t="s">
        <v>137</v>
      </c>
      <c r="S201" s="39" t="s">
        <v>19</v>
      </c>
      <c r="T201" s="39" t="s">
        <v>160</v>
      </c>
      <c r="U201" s="39" t="s">
        <v>70</v>
      </c>
      <c r="V201" s="39" t="s">
        <v>139</v>
      </c>
      <c r="W201" s="41">
        <v>44731.0</v>
      </c>
      <c r="X201" s="40">
        <v>142.0</v>
      </c>
      <c r="Y201" s="39" t="s">
        <v>2197</v>
      </c>
      <c r="Z201" s="41">
        <v>34058.0</v>
      </c>
      <c r="AA201" s="39" t="s">
        <v>141</v>
      </c>
      <c r="AB201" s="39" t="s">
        <v>142</v>
      </c>
      <c r="AC201" s="39" t="s">
        <v>292</v>
      </c>
      <c r="AD201" s="40">
        <v>132000.0</v>
      </c>
      <c r="AE201" s="40">
        <v>132000.0</v>
      </c>
      <c r="AF201" s="39" t="s">
        <v>144</v>
      </c>
      <c r="AG201" s="39" t="s">
        <v>145</v>
      </c>
      <c r="AH201" s="39" t="s">
        <v>293</v>
      </c>
      <c r="AI201" s="42" t="s">
        <v>2198</v>
      </c>
      <c r="AJ201" s="42" t="s">
        <v>2199</v>
      </c>
    </row>
    <row r="202" ht="15.75" customHeight="1">
      <c r="A202" s="40">
        <v>201.0</v>
      </c>
      <c r="B202" s="39" t="s">
        <v>2200</v>
      </c>
      <c r="C202" s="39" t="s">
        <v>2201</v>
      </c>
      <c r="D202" s="39" t="s">
        <v>2202</v>
      </c>
      <c r="E202" s="39" t="s">
        <v>2201</v>
      </c>
      <c r="F202" s="39" t="s">
        <v>186</v>
      </c>
      <c r="G202" s="39" t="s">
        <v>2203</v>
      </c>
      <c r="H202" s="39" t="s">
        <v>2204</v>
      </c>
      <c r="I202" s="39"/>
      <c r="J202" s="39" t="s">
        <v>2205</v>
      </c>
      <c r="K202" s="40">
        <v>1713.0</v>
      </c>
      <c r="L202" s="39" t="s">
        <v>2206</v>
      </c>
      <c r="M202" s="39" t="s">
        <v>314</v>
      </c>
      <c r="N202" s="39" t="s">
        <v>315</v>
      </c>
      <c r="O202" s="39" t="s">
        <v>193</v>
      </c>
      <c r="P202" s="39" t="s">
        <v>194</v>
      </c>
      <c r="Q202" s="40">
        <v>10007.0</v>
      </c>
      <c r="R202" s="39" t="s">
        <v>137</v>
      </c>
      <c r="S202" s="39" t="s">
        <v>19</v>
      </c>
      <c r="T202" s="39" t="s">
        <v>138</v>
      </c>
      <c r="U202" s="39" t="s">
        <v>70</v>
      </c>
      <c r="V202" s="39" t="s">
        <v>195</v>
      </c>
      <c r="W202" s="41">
        <v>45591.0</v>
      </c>
      <c r="X202" s="40">
        <v>205.0</v>
      </c>
      <c r="Y202" s="39" t="s">
        <v>2207</v>
      </c>
      <c r="Z202" s="41">
        <v>37412.0</v>
      </c>
      <c r="AA202" s="39" t="s">
        <v>279</v>
      </c>
      <c r="AB202" s="39" t="s">
        <v>180</v>
      </c>
      <c r="AC202" s="39" t="s">
        <v>143</v>
      </c>
      <c r="AD202" s="40">
        <v>155000.0</v>
      </c>
      <c r="AE202" s="40">
        <v>155000.0</v>
      </c>
      <c r="AF202" s="39" t="s">
        <v>144</v>
      </c>
      <c r="AG202" s="39" t="s">
        <v>145</v>
      </c>
      <c r="AH202" s="39" t="s">
        <v>293</v>
      </c>
      <c r="AI202" s="42" t="s">
        <v>2208</v>
      </c>
      <c r="AJ202" s="42" t="s">
        <v>2209</v>
      </c>
    </row>
    <row r="203" ht="15.75" customHeight="1">
      <c r="A203" s="40">
        <v>202.0</v>
      </c>
      <c r="B203" s="39" t="s">
        <v>2210</v>
      </c>
      <c r="C203" s="39" t="s">
        <v>2211</v>
      </c>
      <c r="D203" s="39" t="s">
        <v>2212</v>
      </c>
      <c r="E203" s="39" t="s">
        <v>2211</v>
      </c>
      <c r="F203" s="39" t="s">
        <v>374</v>
      </c>
      <c r="G203" s="39" t="s">
        <v>2213</v>
      </c>
      <c r="H203" s="39" t="s">
        <v>2214</v>
      </c>
      <c r="I203" s="39"/>
      <c r="J203" s="39" t="s">
        <v>2215</v>
      </c>
      <c r="K203" s="40">
        <v>8770.0</v>
      </c>
      <c r="L203" s="39" t="s">
        <v>2216</v>
      </c>
      <c r="M203" s="39" t="s">
        <v>379</v>
      </c>
      <c r="N203" s="39" t="s">
        <v>380</v>
      </c>
      <c r="O203" s="39" t="s">
        <v>193</v>
      </c>
      <c r="P203" s="39" t="s">
        <v>194</v>
      </c>
      <c r="Q203" s="40">
        <v>10036.0</v>
      </c>
      <c r="R203" s="39" t="s">
        <v>137</v>
      </c>
      <c r="S203" s="39" t="s">
        <v>19</v>
      </c>
      <c r="T203" s="39" t="s">
        <v>138</v>
      </c>
      <c r="U203" s="39" t="s">
        <v>71</v>
      </c>
      <c r="V203" s="39" t="s">
        <v>195</v>
      </c>
      <c r="W203" s="41">
        <v>44596.0</v>
      </c>
      <c r="X203" s="40">
        <v>83.0</v>
      </c>
      <c r="Y203" s="39" t="s">
        <v>2217</v>
      </c>
      <c r="Z203" s="41">
        <v>34492.0</v>
      </c>
      <c r="AA203" s="39" t="s">
        <v>141</v>
      </c>
      <c r="AB203" s="39" t="s">
        <v>225</v>
      </c>
      <c r="AC203" s="39" t="s">
        <v>211</v>
      </c>
      <c r="AD203" s="40">
        <v>149000.0</v>
      </c>
      <c r="AE203" s="40">
        <v>149000.0</v>
      </c>
      <c r="AF203" s="39" t="s">
        <v>144</v>
      </c>
      <c r="AG203" s="39" t="s">
        <v>145</v>
      </c>
      <c r="AH203" s="39" t="s">
        <v>293</v>
      </c>
      <c r="AI203" s="42" t="s">
        <v>2218</v>
      </c>
      <c r="AJ203" s="42" t="s">
        <v>2219</v>
      </c>
    </row>
    <row r="204" ht="15.75" customHeight="1">
      <c r="A204" s="40">
        <v>203.0</v>
      </c>
      <c r="B204" s="39" t="s">
        <v>2220</v>
      </c>
      <c r="C204" s="39" t="s">
        <v>2221</v>
      </c>
      <c r="D204" s="39" t="s">
        <v>2222</v>
      </c>
      <c r="E204" s="39" t="s">
        <v>2221</v>
      </c>
      <c r="F204" s="39" t="s">
        <v>231</v>
      </c>
      <c r="G204" s="39" t="s">
        <v>2223</v>
      </c>
      <c r="H204" s="39" t="s">
        <v>2224</v>
      </c>
      <c r="I204" s="39"/>
      <c r="J204" s="39" t="s">
        <v>2225</v>
      </c>
      <c r="K204" s="40">
        <v>3225.0</v>
      </c>
      <c r="L204" s="39" t="s">
        <v>2226</v>
      </c>
      <c r="M204" s="39" t="s">
        <v>314</v>
      </c>
      <c r="N204" s="39" t="s">
        <v>315</v>
      </c>
      <c r="O204" s="39" t="s">
        <v>193</v>
      </c>
      <c r="P204" s="39" t="s">
        <v>194</v>
      </c>
      <c r="Q204" s="40">
        <v>10007.0</v>
      </c>
      <c r="R204" s="39" t="s">
        <v>137</v>
      </c>
      <c r="S204" s="39" t="s">
        <v>19</v>
      </c>
      <c r="T204" s="39" t="s">
        <v>138</v>
      </c>
      <c r="U204" s="39" t="s">
        <v>73</v>
      </c>
      <c r="V204" s="39" t="s">
        <v>195</v>
      </c>
      <c r="W204" s="41">
        <v>45035.0</v>
      </c>
      <c r="X204" s="40">
        <v>108.0</v>
      </c>
      <c r="Y204" s="39" t="s">
        <v>2227</v>
      </c>
      <c r="Z204" s="41">
        <v>34641.0</v>
      </c>
      <c r="AA204" s="39" t="s">
        <v>141</v>
      </c>
      <c r="AB204" s="39" t="s">
        <v>180</v>
      </c>
      <c r="AC204" s="39" t="s">
        <v>279</v>
      </c>
      <c r="AD204" s="40">
        <v>135000.0</v>
      </c>
      <c r="AE204" s="40">
        <v>135000.0</v>
      </c>
      <c r="AF204" s="39" t="s">
        <v>144</v>
      </c>
      <c r="AG204" s="39" t="s">
        <v>145</v>
      </c>
      <c r="AH204" s="39" t="s">
        <v>293</v>
      </c>
      <c r="AI204" s="42" t="s">
        <v>2228</v>
      </c>
      <c r="AJ204" s="42" t="s">
        <v>2229</v>
      </c>
    </row>
    <row r="205" ht="15.75" customHeight="1">
      <c r="A205" s="40">
        <v>204.0</v>
      </c>
      <c r="B205" s="39" t="s">
        <v>2230</v>
      </c>
      <c r="C205" s="39" t="s">
        <v>2231</v>
      </c>
      <c r="D205" s="39" t="s">
        <v>2232</v>
      </c>
      <c r="E205" s="39" t="s">
        <v>2231</v>
      </c>
      <c r="F205" s="39" t="s">
        <v>152</v>
      </c>
      <c r="G205" s="39" t="s">
        <v>2233</v>
      </c>
      <c r="H205" s="39" t="s">
        <v>2234</v>
      </c>
      <c r="I205" s="39"/>
      <c r="J205" s="39" t="s">
        <v>2235</v>
      </c>
      <c r="K205" s="40">
        <v>1951.0</v>
      </c>
      <c r="L205" s="39" t="s">
        <v>2236</v>
      </c>
      <c r="M205" s="39" t="s">
        <v>247</v>
      </c>
      <c r="N205" s="39" t="s">
        <v>248</v>
      </c>
      <c r="O205" s="39" t="s">
        <v>135</v>
      </c>
      <c r="P205" s="39" t="s">
        <v>136</v>
      </c>
      <c r="Q205" s="40">
        <v>94103.0</v>
      </c>
      <c r="R205" s="39" t="s">
        <v>137</v>
      </c>
      <c r="S205" s="39" t="s">
        <v>19</v>
      </c>
      <c r="T205" s="39" t="s">
        <v>160</v>
      </c>
      <c r="U205" s="39" t="s">
        <v>74</v>
      </c>
      <c r="V205" s="39" t="s">
        <v>139</v>
      </c>
      <c r="W205" s="41">
        <v>45377.0</v>
      </c>
      <c r="X205" s="40">
        <v>238.0</v>
      </c>
      <c r="Y205" s="39" t="s">
        <v>2237</v>
      </c>
      <c r="Z205" s="41">
        <v>28439.0</v>
      </c>
      <c r="AA205" s="39" t="s">
        <v>163</v>
      </c>
      <c r="AB205" s="39" t="s">
        <v>225</v>
      </c>
      <c r="AC205" s="39" t="s">
        <v>197</v>
      </c>
      <c r="AD205" s="40">
        <v>163000.0</v>
      </c>
      <c r="AE205" s="40">
        <v>163000.0</v>
      </c>
      <c r="AF205" s="39" t="s">
        <v>144</v>
      </c>
      <c r="AG205" s="39" t="s">
        <v>145</v>
      </c>
      <c r="AH205" s="39" t="s">
        <v>146</v>
      </c>
      <c r="AI205" s="42" t="s">
        <v>2238</v>
      </c>
      <c r="AJ205" s="42" t="s">
        <v>2239</v>
      </c>
    </row>
    <row r="206" ht="15.75" customHeight="1">
      <c r="A206" s="40">
        <v>205.0</v>
      </c>
      <c r="B206" s="39" t="s">
        <v>2240</v>
      </c>
      <c r="C206" s="39" t="s">
        <v>2241</v>
      </c>
      <c r="D206" s="39" t="s">
        <v>2242</v>
      </c>
      <c r="E206" s="39" t="s">
        <v>2241</v>
      </c>
      <c r="F206" s="39" t="s">
        <v>255</v>
      </c>
      <c r="G206" s="39" t="s">
        <v>2243</v>
      </c>
      <c r="H206" s="39" t="s">
        <v>2244</v>
      </c>
      <c r="I206" s="39"/>
      <c r="J206" s="39" t="s">
        <v>2245</v>
      </c>
      <c r="K206" s="40">
        <v>6050.0</v>
      </c>
      <c r="L206" s="39" t="s">
        <v>2246</v>
      </c>
      <c r="M206" s="39" t="s">
        <v>903</v>
      </c>
      <c r="N206" s="39"/>
      <c r="O206" s="39" t="s">
        <v>174</v>
      </c>
      <c r="P206" s="39" t="s">
        <v>175</v>
      </c>
      <c r="Q206" s="39" t="s">
        <v>904</v>
      </c>
      <c r="R206" s="39" t="s">
        <v>177</v>
      </c>
      <c r="S206" s="39" t="s">
        <v>19</v>
      </c>
      <c r="T206" s="39" t="s">
        <v>138</v>
      </c>
      <c r="U206" s="39" t="s">
        <v>74</v>
      </c>
      <c r="V206" s="39" t="s">
        <v>178</v>
      </c>
      <c r="W206" s="41">
        <v>44840.0</v>
      </c>
      <c r="X206" s="40">
        <v>237.0</v>
      </c>
      <c r="Y206" s="39" t="s">
        <v>2247</v>
      </c>
      <c r="Z206" s="41">
        <v>28938.0</v>
      </c>
      <c r="AA206" s="39" t="s">
        <v>163</v>
      </c>
      <c r="AB206" s="39" t="s">
        <v>180</v>
      </c>
      <c r="AC206" s="39" t="s">
        <v>143</v>
      </c>
      <c r="AD206" s="40">
        <v>182000.0</v>
      </c>
      <c r="AE206" s="40">
        <v>182000.0</v>
      </c>
      <c r="AF206" s="39" t="s">
        <v>144</v>
      </c>
      <c r="AG206" s="39" t="s">
        <v>145</v>
      </c>
      <c r="AH206" s="39" t="s">
        <v>293</v>
      </c>
      <c r="AI206" s="42" t="s">
        <v>2248</v>
      </c>
      <c r="AJ206" s="42" t="s">
        <v>2249</v>
      </c>
    </row>
    <row r="207" ht="15.75" customHeight="1">
      <c r="A207" s="40">
        <v>206.0</v>
      </c>
      <c r="B207" s="39" t="s">
        <v>2250</v>
      </c>
      <c r="C207" s="39" t="s">
        <v>2251</v>
      </c>
      <c r="D207" s="39" t="s">
        <v>2252</v>
      </c>
      <c r="E207" s="39" t="s">
        <v>2251</v>
      </c>
      <c r="F207" s="39" t="s">
        <v>186</v>
      </c>
      <c r="G207" s="39" t="s">
        <v>2253</v>
      </c>
      <c r="H207" s="39" t="s">
        <v>2254</v>
      </c>
      <c r="I207" s="39"/>
      <c r="J207" s="39" t="s">
        <v>2255</v>
      </c>
      <c r="K207" s="40">
        <v>9186.0</v>
      </c>
      <c r="L207" s="39" t="s">
        <v>2256</v>
      </c>
      <c r="M207" s="39" t="s">
        <v>314</v>
      </c>
      <c r="N207" s="39" t="s">
        <v>315</v>
      </c>
      <c r="O207" s="39" t="s">
        <v>193</v>
      </c>
      <c r="P207" s="39" t="s">
        <v>194</v>
      </c>
      <c r="Q207" s="40">
        <v>10007.0</v>
      </c>
      <c r="R207" s="39" t="s">
        <v>137</v>
      </c>
      <c r="S207" s="39" t="s">
        <v>19</v>
      </c>
      <c r="T207" s="39" t="s">
        <v>138</v>
      </c>
      <c r="U207" s="39" t="s">
        <v>69</v>
      </c>
      <c r="V207" s="39" t="s">
        <v>195</v>
      </c>
      <c r="W207" s="41">
        <v>45340.0</v>
      </c>
      <c r="X207" s="40">
        <v>237.0</v>
      </c>
      <c r="Y207" s="39" t="s">
        <v>2257</v>
      </c>
      <c r="Z207" s="41">
        <v>34254.0</v>
      </c>
      <c r="AA207" s="39" t="s">
        <v>141</v>
      </c>
      <c r="AB207" s="39" t="s">
        <v>180</v>
      </c>
      <c r="AC207" s="39" t="s">
        <v>181</v>
      </c>
      <c r="AD207" s="40">
        <v>204000.0</v>
      </c>
      <c r="AE207" s="40">
        <v>204000.0</v>
      </c>
      <c r="AF207" s="39" t="s">
        <v>144</v>
      </c>
      <c r="AG207" s="39" t="s">
        <v>145</v>
      </c>
      <c r="AH207" s="39" t="s">
        <v>264</v>
      </c>
      <c r="AI207" s="42" t="s">
        <v>2258</v>
      </c>
      <c r="AJ207" s="42" t="s">
        <v>2259</v>
      </c>
    </row>
    <row r="208" ht="15.75" customHeight="1">
      <c r="A208" s="40">
        <v>207.0</v>
      </c>
      <c r="B208" s="39" t="s">
        <v>2260</v>
      </c>
      <c r="C208" s="39" t="s">
        <v>2261</v>
      </c>
      <c r="D208" s="39" t="s">
        <v>2262</v>
      </c>
      <c r="E208" s="39" t="s">
        <v>2261</v>
      </c>
      <c r="F208" s="39" t="s">
        <v>231</v>
      </c>
      <c r="G208" s="39" t="s">
        <v>2263</v>
      </c>
      <c r="H208" s="39" t="s">
        <v>2264</v>
      </c>
      <c r="I208" s="39"/>
      <c r="J208" s="39" t="s">
        <v>2265</v>
      </c>
      <c r="K208" s="40">
        <v>9300.0</v>
      </c>
      <c r="L208" s="39" t="s">
        <v>2266</v>
      </c>
      <c r="M208" s="39" t="s">
        <v>260</v>
      </c>
      <c r="N208" s="39" t="s">
        <v>261</v>
      </c>
      <c r="O208" s="39" t="s">
        <v>193</v>
      </c>
      <c r="P208" s="39" t="s">
        <v>194</v>
      </c>
      <c r="Q208" s="40">
        <v>10011.0</v>
      </c>
      <c r="R208" s="39" t="s">
        <v>137</v>
      </c>
      <c r="S208" s="39" t="s">
        <v>19</v>
      </c>
      <c r="T208" s="39" t="s">
        <v>160</v>
      </c>
      <c r="U208" s="39" t="s">
        <v>77</v>
      </c>
      <c r="V208" s="39" t="s">
        <v>195</v>
      </c>
      <c r="W208" s="41">
        <v>45500.0</v>
      </c>
      <c r="X208" s="40">
        <v>204.0</v>
      </c>
      <c r="Y208" s="39" t="s">
        <v>2267</v>
      </c>
      <c r="Z208" s="41">
        <v>32932.0</v>
      </c>
      <c r="AA208" s="39" t="s">
        <v>141</v>
      </c>
      <c r="AB208" s="39" t="s">
        <v>180</v>
      </c>
      <c r="AC208" s="39" t="s">
        <v>143</v>
      </c>
      <c r="AD208" s="40">
        <v>118000.0</v>
      </c>
      <c r="AE208" s="40">
        <v>118000.0</v>
      </c>
      <c r="AF208" s="39" t="s">
        <v>144</v>
      </c>
      <c r="AG208" s="39" t="s">
        <v>145</v>
      </c>
      <c r="AH208" s="39" t="s">
        <v>293</v>
      </c>
      <c r="AI208" s="42" t="s">
        <v>2268</v>
      </c>
      <c r="AJ208" s="42" t="s">
        <v>2269</v>
      </c>
    </row>
    <row r="209" ht="15.75" customHeight="1">
      <c r="A209" s="40">
        <v>208.0</v>
      </c>
      <c r="B209" s="39" t="s">
        <v>2270</v>
      </c>
      <c r="C209" s="39" t="s">
        <v>2271</v>
      </c>
      <c r="D209" s="39" t="s">
        <v>2272</v>
      </c>
      <c r="E209" s="39" t="s">
        <v>2271</v>
      </c>
      <c r="F209" s="39" t="s">
        <v>128</v>
      </c>
      <c r="G209" s="39" t="s">
        <v>2273</v>
      </c>
      <c r="H209" s="39" t="s">
        <v>2274</v>
      </c>
      <c r="I209" s="39"/>
      <c r="J209" s="39" t="s">
        <v>2275</v>
      </c>
      <c r="K209" s="40">
        <v>6250.0</v>
      </c>
      <c r="L209" s="39" t="s">
        <v>2276</v>
      </c>
      <c r="M209" s="39" t="s">
        <v>133</v>
      </c>
      <c r="N209" s="39" t="s">
        <v>134</v>
      </c>
      <c r="O209" s="39" t="s">
        <v>135</v>
      </c>
      <c r="P209" s="39" t="s">
        <v>136</v>
      </c>
      <c r="Q209" s="40">
        <v>94108.0</v>
      </c>
      <c r="R209" s="39" t="s">
        <v>137</v>
      </c>
      <c r="S209" s="39" t="s">
        <v>18</v>
      </c>
      <c r="T209" s="39" t="s">
        <v>593</v>
      </c>
      <c r="U209" s="39" t="s">
        <v>63</v>
      </c>
      <c r="V209" s="39" t="s">
        <v>139</v>
      </c>
      <c r="W209" s="41">
        <v>45583.0</v>
      </c>
      <c r="X209" s="40">
        <v>41.0</v>
      </c>
      <c r="Y209" s="39" t="s">
        <v>2277</v>
      </c>
      <c r="Z209" s="41">
        <v>31274.0</v>
      </c>
      <c r="AA209" s="39" t="s">
        <v>163</v>
      </c>
      <c r="AB209" s="39" t="s">
        <v>142</v>
      </c>
      <c r="AC209" s="39" t="s">
        <v>143</v>
      </c>
      <c r="AD209" s="40">
        <v>158000.0</v>
      </c>
      <c r="AE209" s="40">
        <v>158000.0</v>
      </c>
      <c r="AF209" s="39" t="s">
        <v>144</v>
      </c>
      <c r="AG209" s="39" t="s">
        <v>145</v>
      </c>
      <c r="AH209" s="39" t="s">
        <v>293</v>
      </c>
      <c r="AI209" s="42" t="s">
        <v>2278</v>
      </c>
      <c r="AJ209" s="42" t="s">
        <v>2279</v>
      </c>
    </row>
    <row r="210" ht="15.75" customHeight="1">
      <c r="A210" s="40">
        <v>209.0</v>
      </c>
      <c r="B210" s="39" t="s">
        <v>2280</v>
      </c>
      <c r="C210" s="39" t="s">
        <v>2281</v>
      </c>
      <c r="D210" s="39" t="s">
        <v>2282</v>
      </c>
      <c r="E210" s="39" t="s">
        <v>2281</v>
      </c>
      <c r="F210" s="39" t="s">
        <v>231</v>
      </c>
      <c r="G210" s="39" t="s">
        <v>2283</v>
      </c>
      <c r="H210" s="39" t="s">
        <v>2284</v>
      </c>
      <c r="I210" s="39"/>
      <c r="J210" s="39" t="s">
        <v>2285</v>
      </c>
      <c r="K210" s="40">
        <v>4584.0</v>
      </c>
      <c r="L210" s="39" t="s">
        <v>2286</v>
      </c>
      <c r="M210" s="39" t="s">
        <v>815</v>
      </c>
      <c r="N210" s="39" t="s">
        <v>816</v>
      </c>
      <c r="O210" s="39" t="s">
        <v>817</v>
      </c>
      <c r="P210" s="39" t="s">
        <v>818</v>
      </c>
      <c r="Q210" s="40">
        <v>60606.0</v>
      </c>
      <c r="R210" s="39" t="s">
        <v>137</v>
      </c>
      <c r="S210" s="39" t="s">
        <v>18</v>
      </c>
      <c r="T210" s="39" t="s">
        <v>572</v>
      </c>
      <c r="U210" s="39" t="s">
        <v>57</v>
      </c>
      <c r="V210" s="39" t="s">
        <v>161</v>
      </c>
      <c r="W210" s="41">
        <v>44711.0</v>
      </c>
      <c r="X210" s="40">
        <v>193.0</v>
      </c>
      <c r="Y210" s="39" t="s">
        <v>2287</v>
      </c>
      <c r="Z210" s="41">
        <v>31998.0</v>
      </c>
      <c r="AA210" s="39" t="s">
        <v>163</v>
      </c>
      <c r="AB210" s="39" t="s">
        <v>225</v>
      </c>
      <c r="AC210" s="39" t="s">
        <v>197</v>
      </c>
      <c r="AD210" s="40">
        <v>199000.0</v>
      </c>
      <c r="AE210" s="40">
        <v>199000.0</v>
      </c>
      <c r="AF210" s="39" t="s">
        <v>144</v>
      </c>
      <c r="AG210" s="39" t="s">
        <v>145</v>
      </c>
      <c r="AH210" s="39" t="s">
        <v>146</v>
      </c>
      <c r="AI210" s="42" t="s">
        <v>2288</v>
      </c>
      <c r="AJ210" s="42" t="s">
        <v>2289</v>
      </c>
    </row>
    <row r="211" ht="15.75" customHeight="1">
      <c r="A211" s="40">
        <v>210.0</v>
      </c>
      <c r="B211" s="39" t="s">
        <v>2290</v>
      </c>
      <c r="C211" s="39" t="s">
        <v>2291</v>
      </c>
      <c r="D211" s="39" t="s">
        <v>2292</v>
      </c>
      <c r="E211" s="39" t="s">
        <v>2291</v>
      </c>
      <c r="F211" s="39" t="s">
        <v>217</v>
      </c>
      <c r="G211" s="39" t="s">
        <v>2293</v>
      </c>
      <c r="H211" s="39" t="s">
        <v>2294</v>
      </c>
      <c r="I211" s="39"/>
      <c r="J211" s="39" t="s">
        <v>2295</v>
      </c>
      <c r="K211" s="40">
        <v>7494.0</v>
      </c>
      <c r="L211" s="39" t="s">
        <v>2296</v>
      </c>
      <c r="M211" s="39" t="s">
        <v>222</v>
      </c>
      <c r="N211" s="39" t="s">
        <v>223</v>
      </c>
      <c r="O211" s="39" t="s">
        <v>135</v>
      </c>
      <c r="P211" s="39" t="s">
        <v>136</v>
      </c>
      <c r="Q211" s="40">
        <v>94104.0</v>
      </c>
      <c r="R211" s="39" t="s">
        <v>137</v>
      </c>
      <c r="S211" s="39" t="s">
        <v>18</v>
      </c>
      <c r="T211" s="39" t="s">
        <v>593</v>
      </c>
      <c r="U211" s="39" t="s">
        <v>61</v>
      </c>
      <c r="V211" s="39" t="s">
        <v>139</v>
      </c>
      <c r="W211" s="41">
        <v>45537.0</v>
      </c>
      <c r="X211" s="40">
        <v>68.0</v>
      </c>
      <c r="Y211" s="39" t="s">
        <v>2297</v>
      </c>
      <c r="Z211" s="41">
        <v>31562.0</v>
      </c>
      <c r="AA211" s="39" t="s">
        <v>263</v>
      </c>
      <c r="AB211" s="39" t="s">
        <v>180</v>
      </c>
      <c r="AC211" s="39" t="s">
        <v>197</v>
      </c>
      <c r="AD211" s="40">
        <v>95000.0</v>
      </c>
      <c r="AE211" s="40">
        <v>95000.0</v>
      </c>
      <c r="AF211" s="39" t="s">
        <v>144</v>
      </c>
      <c r="AG211" s="39" t="s">
        <v>145</v>
      </c>
      <c r="AH211" s="39" t="s">
        <v>293</v>
      </c>
      <c r="AI211" s="42" t="s">
        <v>2298</v>
      </c>
      <c r="AJ211" s="42" t="s">
        <v>2299</v>
      </c>
    </row>
    <row r="212" ht="15.75" customHeight="1">
      <c r="A212" s="40">
        <v>211.0</v>
      </c>
      <c r="B212" s="39" t="s">
        <v>2300</v>
      </c>
      <c r="C212" s="39" t="s">
        <v>2301</v>
      </c>
      <c r="D212" s="39" t="s">
        <v>2302</v>
      </c>
      <c r="E212" s="39" t="s">
        <v>2301</v>
      </c>
      <c r="F212" s="39" t="s">
        <v>231</v>
      </c>
      <c r="G212" s="39" t="s">
        <v>2303</v>
      </c>
      <c r="H212" s="39" t="s">
        <v>2304</v>
      </c>
      <c r="I212" s="39"/>
      <c r="J212" s="39" t="s">
        <v>2305</v>
      </c>
      <c r="K212" s="40">
        <v>621.0</v>
      </c>
      <c r="L212" s="39" t="s">
        <v>2306</v>
      </c>
      <c r="M212" s="39" t="s">
        <v>208</v>
      </c>
      <c r="N212" s="39" t="s">
        <v>209</v>
      </c>
      <c r="O212" s="39" t="s">
        <v>135</v>
      </c>
      <c r="P212" s="39" t="s">
        <v>136</v>
      </c>
      <c r="Q212" s="40">
        <v>94105.0</v>
      </c>
      <c r="R212" s="39" t="s">
        <v>137</v>
      </c>
      <c r="S212" s="39" t="s">
        <v>17</v>
      </c>
      <c r="T212" s="39" t="s">
        <v>17</v>
      </c>
      <c r="U212" s="39" t="s">
        <v>46</v>
      </c>
      <c r="V212" s="39" t="s">
        <v>139</v>
      </c>
      <c r="W212" s="41">
        <v>44745.0</v>
      </c>
      <c r="X212" s="40">
        <v>92.0</v>
      </c>
      <c r="Y212" s="39" t="s">
        <v>2307</v>
      </c>
      <c r="Z212" s="41">
        <v>36086.0</v>
      </c>
      <c r="AA212" s="39" t="s">
        <v>141</v>
      </c>
      <c r="AB212" s="39" t="s">
        <v>142</v>
      </c>
      <c r="AC212" s="39" t="s">
        <v>197</v>
      </c>
      <c r="AD212" s="40">
        <v>110000.0</v>
      </c>
      <c r="AE212" s="40">
        <v>110000.0</v>
      </c>
      <c r="AF212" s="39" t="s">
        <v>144</v>
      </c>
      <c r="AG212" s="39" t="s">
        <v>145</v>
      </c>
      <c r="AH212" s="39" t="s">
        <v>146</v>
      </c>
      <c r="AI212" s="42" t="s">
        <v>2308</v>
      </c>
      <c r="AJ212" s="42" t="s">
        <v>2309</v>
      </c>
    </row>
    <row r="213" ht="15.75" customHeight="1">
      <c r="A213" s="40">
        <v>212.0</v>
      </c>
      <c r="B213" s="39" t="s">
        <v>2310</v>
      </c>
      <c r="C213" s="39" t="s">
        <v>2311</v>
      </c>
      <c r="D213" s="39" t="s">
        <v>2312</v>
      </c>
      <c r="E213" s="39" t="s">
        <v>2311</v>
      </c>
      <c r="F213" s="39" t="s">
        <v>203</v>
      </c>
      <c r="G213" s="39" t="s">
        <v>2313</v>
      </c>
      <c r="H213" s="39" t="s">
        <v>2314</v>
      </c>
      <c r="I213" s="39"/>
      <c r="J213" s="39" t="s">
        <v>2315</v>
      </c>
      <c r="K213" s="40">
        <v>8120.0</v>
      </c>
      <c r="L213" s="39" t="s">
        <v>2316</v>
      </c>
      <c r="M213" s="39" t="s">
        <v>208</v>
      </c>
      <c r="N213" s="39" t="s">
        <v>209</v>
      </c>
      <c r="O213" s="39" t="s">
        <v>135</v>
      </c>
      <c r="P213" s="39" t="s">
        <v>136</v>
      </c>
      <c r="Q213" s="40">
        <v>94105.0</v>
      </c>
      <c r="R213" s="39" t="s">
        <v>137</v>
      </c>
      <c r="S213" s="39" t="s">
        <v>17</v>
      </c>
      <c r="T213" s="39" t="s">
        <v>17</v>
      </c>
      <c r="U213" s="39" t="s">
        <v>51</v>
      </c>
      <c r="V213" s="39" t="s">
        <v>139</v>
      </c>
      <c r="W213" s="41">
        <v>44795.0</v>
      </c>
      <c r="X213" s="40">
        <v>37.0</v>
      </c>
      <c r="Y213" s="39" t="s">
        <v>2317</v>
      </c>
      <c r="Z213" s="41">
        <v>34858.0</v>
      </c>
      <c r="AA213" s="39" t="s">
        <v>163</v>
      </c>
      <c r="AB213" s="39" t="s">
        <v>142</v>
      </c>
      <c r="AC213" s="39" t="s">
        <v>143</v>
      </c>
      <c r="AD213" s="40">
        <v>124000.0</v>
      </c>
      <c r="AE213" s="40">
        <v>124000.0</v>
      </c>
      <c r="AF213" s="39" t="s">
        <v>144</v>
      </c>
      <c r="AG213" s="39" t="s">
        <v>145</v>
      </c>
      <c r="AH213" s="39" t="s">
        <v>146</v>
      </c>
      <c r="AI213" s="42" t="s">
        <v>2318</v>
      </c>
      <c r="AJ213" s="42" t="s">
        <v>2319</v>
      </c>
    </row>
    <row r="214" ht="15.75" customHeight="1">
      <c r="A214" s="40">
        <v>213.0</v>
      </c>
      <c r="B214" s="39" t="s">
        <v>2320</v>
      </c>
      <c r="C214" s="39" t="s">
        <v>2321</v>
      </c>
      <c r="D214" s="39" t="s">
        <v>2322</v>
      </c>
      <c r="E214" s="39" t="s">
        <v>2321</v>
      </c>
      <c r="F214" s="39" t="s">
        <v>152</v>
      </c>
      <c r="G214" s="39" t="s">
        <v>2323</v>
      </c>
      <c r="H214" s="39" t="s">
        <v>2324</v>
      </c>
      <c r="I214" s="39"/>
      <c r="J214" s="39" t="s">
        <v>2325</v>
      </c>
      <c r="K214" s="40">
        <v>3356.0</v>
      </c>
      <c r="L214" s="39" t="s">
        <v>2326</v>
      </c>
      <c r="M214" s="39" t="s">
        <v>752</v>
      </c>
      <c r="N214" s="39" t="s">
        <v>753</v>
      </c>
      <c r="O214" s="39" t="s">
        <v>754</v>
      </c>
      <c r="P214" s="39" t="s">
        <v>194</v>
      </c>
      <c r="Q214" s="40">
        <v>11249.0</v>
      </c>
      <c r="R214" s="39" t="s">
        <v>137</v>
      </c>
      <c r="S214" s="39" t="s">
        <v>17</v>
      </c>
      <c r="T214" s="39" t="s">
        <v>17</v>
      </c>
      <c r="U214" s="39" t="s">
        <v>50</v>
      </c>
      <c r="V214" s="39" t="s">
        <v>161</v>
      </c>
      <c r="W214" s="41">
        <v>45318.0</v>
      </c>
      <c r="X214" s="40">
        <v>120.0</v>
      </c>
      <c r="Y214" s="39" t="s">
        <v>2327</v>
      </c>
      <c r="Z214" s="41">
        <v>34263.0</v>
      </c>
      <c r="AA214" s="39" t="s">
        <v>141</v>
      </c>
      <c r="AB214" s="39" t="s">
        <v>180</v>
      </c>
      <c r="AC214" s="39" t="s">
        <v>197</v>
      </c>
      <c r="AD214" s="40">
        <v>83000.0</v>
      </c>
      <c r="AE214" s="40">
        <v>83000.0</v>
      </c>
      <c r="AF214" s="39" t="s">
        <v>144</v>
      </c>
      <c r="AG214" s="39" t="s">
        <v>145</v>
      </c>
      <c r="AH214" s="39" t="s">
        <v>293</v>
      </c>
      <c r="AI214" s="42" t="s">
        <v>2328</v>
      </c>
      <c r="AJ214" s="42" t="s">
        <v>2329</v>
      </c>
    </row>
    <row r="215" ht="15.75" customHeight="1">
      <c r="A215" s="40">
        <v>214.0</v>
      </c>
      <c r="B215" s="39" t="s">
        <v>2330</v>
      </c>
      <c r="C215" s="39" t="s">
        <v>2331</v>
      </c>
      <c r="D215" s="39" t="s">
        <v>2332</v>
      </c>
      <c r="E215" s="39" t="s">
        <v>2331</v>
      </c>
      <c r="F215" s="39" t="s">
        <v>186</v>
      </c>
      <c r="G215" s="39" t="s">
        <v>2333</v>
      </c>
      <c r="H215" s="39" t="s">
        <v>2334</v>
      </c>
      <c r="I215" s="39"/>
      <c r="J215" s="39" t="s">
        <v>2335</v>
      </c>
      <c r="K215" s="40">
        <v>7677.0</v>
      </c>
      <c r="L215" s="39" t="s">
        <v>2336</v>
      </c>
      <c r="M215" s="39" t="s">
        <v>133</v>
      </c>
      <c r="N215" s="39" t="s">
        <v>134</v>
      </c>
      <c r="O215" s="39" t="s">
        <v>135</v>
      </c>
      <c r="P215" s="39" t="s">
        <v>136</v>
      </c>
      <c r="Q215" s="40">
        <v>94108.0</v>
      </c>
      <c r="R215" s="39" t="s">
        <v>137</v>
      </c>
      <c r="S215" s="39" t="s">
        <v>17</v>
      </c>
      <c r="T215" s="39" t="s">
        <v>17</v>
      </c>
      <c r="U215" s="39" t="s">
        <v>47</v>
      </c>
      <c r="V215" s="39" t="s">
        <v>139</v>
      </c>
      <c r="W215" s="41">
        <v>45129.0</v>
      </c>
      <c r="X215" s="40">
        <v>91.0</v>
      </c>
      <c r="Y215" s="39" t="s">
        <v>2337</v>
      </c>
      <c r="Z215" s="41">
        <v>27398.0</v>
      </c>
      <c r="AA215" s="39" t="s">
        <v>141</v>
      </c>
      <c r="AB215" s="39" t="s">
        <v>180</v>
      </c>
      <c r="AC215" s="39" t="s">
        <v>181</v>
      </c>
      <c r="AD215" s="40">
        <v>201000.0</v>
      </c>
      <c r="AE215" s="40">
        <v>201000.0</v>
      </c>
      <c r="AF215" s="39" t="s">
        <v>144</v>
      </c>
      <c r="AG215" s="39" t="s">
        <v>145</v>
      </c>
      <c r="AH215" s="39" t="s">
        <v>146</v>
      </c>
      <c r="AI215" s="42" t="s">
        <v>2338</v>
      </c>
      <c r="AJ215" s="42" t="s">
        <v>2339</v>
      </c>
    </row>
    <row r="216" ht="15.75" customHeight="1">
      <c r="A216" s="40">
        <v>215.0</v>
      </c>
      <c r="B216" s="39" t="s">
        <v>2340</v>
      </c>
      <c r="C216" s="39" t="s">
        <v>2341</v>
      </c>
      <c r="D216" s="39" t="s">
        <v>1834</v>
      </c>
      <c r="E216" s="39" t="s">
        <v>2341</v>
      </c>
      <c r="F216" s="39" t="s">
        <v>427</v>
      </c>
      <c r="G216" s="39" t="s">
        <v>2342</v>
      </c>
      <c r="H216" s="39" t="s">
        <v>2343</v>
      </c>
      <c r="I216" s="39"/>
      <c r="J216" s="39" t="s">
        <v>2344</v>
      </c>
      <c r="K216" s="40">
        <v>9433.0</v>
      </c>
      <c r="L216" s="39" t="s">
        <v>2345</v>
      </c>
      <c r="M216" s="39" t="s">
        <v>379</v>
      </c>
      <c r="N216" s="39" t="s">
        <v>380</v>
      </c>
      <c r="O216" s="39" t="s">
        <v>193</v>
      </c>
      <c r="P216" s="39" t="s">
        <v>194</v>
      </c>
      <c r="Q216" s="40">
        <v>10036.0</v>
      </c>
      <c r="R216" s="39" t="s">
        <v>137</v>
      </c>
      <c r="S216" s="39" t="s">
        <v>16</v>
      </c>
      <c r="T216" s="39" t="s">
        <v>16</v>
      </c>
      <c r="U216" s="39" t="s">
        <v>87</v>
      </c>
      <c r="V216" s="39" t="s">
        <v>195</v>
      </c>
      <c r="W216" s="41">
        <v>44678.0</v>
      </c>
      <c r="X216" s="40">
        <v>233.0</v>
      </c>
      <c r="Y216" s="39" t="s">
        <v>2346</v>
      </c>
      <c r="Z216" s="41">
        <v>30776.0</v>
      </c>
      <c r="AA216" s="39" t="s">
        <v>163</v>
      </c>
      <c r="AB216" s="39" t="s">
        <v>180</v>
      </c>
      <c r="AC216" s="39" t="s">
        <v>292</v>
      </c>
      <c r="AD216" s="40">
        <v>184000.0</v>
      </c>
      <c r="AE216" s="40">
        <v>184000.0</v>
      </c>
      <c r="AF216" s="39" t="s">
        <v>144</v>
      </c>
      <c r="AG216" s="39" t="s">
        <v>145</v>
      </c>
      <c r="AH216" s="39" t="s">
        <v>264</v>
      </c>
      <c r="AI216" s="42" t="s">
        <v>2347</v>
      </c>
      <c r="AJ216" s="42" t="s">
        <v>2348</v>
      </c>
    </row>
    <row r="217" ht="15.75" customHeight="1">
      <c r="A217" s="40">
        <v>216.0</v>
      </c>
      <c r="B217" s="39" t="s">
        <v>2349</v>
      </c>
      <c r="C217" s="39" t="s">
        <v>2350</v>
      </c>
      <c r="D217" s="39" t="s">
        <v>2351</v>
      </c>
      <c r="E217" s="39" t="s">
        <v>2350</v>
      </c>
      <c r="F217" s="39" t="s">
        <v>152</v>
      </c>
      <c r="G217" s="39" t="s">
        <v>2352</v>
      </c>
      <c r="H217" s="39" t="s">
        <v>2353</v>
      </c>
      <c r="I217" s="39"/>
      <c r="J217" s="39" t="s">
        <v>2354</v>
      </c>
      <c r="K217" s="40">
        <v>9379.0</v>
      </c>
      <c r="L217" s="39" t="s">
        <v>2355</v>
      </c>
      <c r="M217" s="39" t="s">
        <v>260</v>
      </c>
      <c r="N217" s="39" t="s">
        <v>261</v>
      </c>
      <c r="O217" s="39" t="s">
        <v>193</v>
      </c>
      <c r="P217" s="39" t="s">
        <v>194</v>
      </c>
      <c r="Q217" s="40">
        <v>10011.0</v>
      </c>
      <c r="R217" s="39" t="s">
        <v>137</v>
      </c>
      <c r="S217" s="39" t="s">
        <v>16</v>
      </c>
      <c r="T217" s="39" t="s">
        <v>16</v>
      </c>
      <c r="U217" s="39" t="s">
        <v>83</v>
      </c>
      <c r="V217" s="39" t="s">
        <v>195</v>
      </c>
      <c r="W217" s="41">
        <v>45512.0</v>
      </c>
      <c r="X217" s="40">
        <v>233.0</v>
      </c>
      <c r="Y217" s="39" t="s">
        <v>2356</v>
      </c>
      <c r="Z217" s="41">
        <v>34700.0</v>
      </c>
      <c r="AA217" s="39" t="s">
        <v>163</v>
      </c>
      <c r="AB217" s="39" t="s">
        <v>142</v>
      </c>
      <c r="AC217" s="39" t="s">
        <v>181</v>
      </c>
      <c r="AD217" s="40">
        <v>89000.0</v>
      </c>
      <c r="AE217" s="40">
        <v>89000.0</v>
      </c>
      <c r="AF217" s="39" t="s">
        <v>144</v>
      </c>
      <c r="AG217" s="39" t="s">
        <v>145</v>
      </c>
      <c r="AH217" s="39" t="s">
        <v>293</v>
      </c>
      <c r="AI217" s="42" t="s">
        <v>2357</v>
      </c>
      <c r="AJ217" s="42" t="s">
        <v>2358</v>
      </c>
    </row>
    <row r="218" ht="15.75" customHeight="1">
      <c r="A218" s="40">
        <v>217.0</v>
      </c>
      <c r="B218" s="39" t="s">
        <v>2359</v>
      </c>
      <c r="C218" s="39" t="s">
        <v>2360</v>
      </c>
      <c r="D218" s="39" t="s">
        <v>2361</v>
      </c>
      <c r="E218" s="39" t="s">
        <v>2360</v>
      </c>
      <c r="F218" s="39" t="s">
        <v>270</v>
      </c>
      <c r="G218" s="39" t="s">
        <v>2362</v>
      </c>
      <c r="H218" s="39" t="s">
        <v>2363</v>
      </c>
      <c r="I218" s="39"/>
      <c r="J218" s="39" t="s">
        <v>2364</v>
      </c>
      <c r="K218" s="40">
        <v>9757.0</v>
      </c>
      <c r="L218" s="39" t="s">
        <v>2365</v>
      </c>
      <c r="M218" s="39" t="s">
        <v>314</v>
      </c>
      <c r="N218" s="39" t="s">
        <v>315</v>
      </c>
      <c r="O218" s="39" t="s">
        <v>193</v>
      </c>
      <c r="P218" s="39" t="s">
        <v>194</v>
      </c>
      <c r="Q218" s="40">
        <v>10007.0</v>
      </c>
      <c r="R218" s="39" t="s">
        <v>137</v>
      </c>
      <c r="S218" s="39" t="s">
        <v>16</v>
      </c>
      <c r="T218" s="39" t="s">
        <v>16</v>
      </c>
      <c r="U218" s="39" t="s">
        <v>84</v>
      </c>
      <c r="V218" s="39" t="s">
        <v>195</v>
      </c>
      <c r="W218" s="41">
        <v>45211.0</v>
      </c>
      <c r="X218" s="40">
        <v>239.0</v>
      </c>
      <c r="Y218" s="39" t="s">
        <v>2366</v>
      </c>
      <c r="Z218" s="41">
        <v>23962.0</v>
      </c>
      <c r="AA218" s="39" t="s">
        <v>141</v>
      </c>
      <c r="AB218" s="39" t="s">
        <v>180</v>
      </c>
      <c r="AC218" s="39" t="s">
        <v>181</v>
      </c>
      <c r="AD218" s="40">
        <v>279000.0</v>
      </c>
      <c r="AE218" s="40">
        <v>279000.0</v>
      </c>
      <c r="AF218" s="39" t="s">
        <v>144</v>
      </c>
      <c r="AG218" s="39" t="s">
        <v>145</v>
      </c>
      <c r="AH218" s="39" t="s">
        <v>146</v>
      </c>
      <c r="AI218" s="42" t="s">
        <v>2367</v>
      </c>
      <c r="AJ218" s="42" t="s">
        <v>2368</v>
      </c>
    </row>
    <row r="219" ht="15.75" customHeight="1">
      <c r="A219" s="40">
        <v>218.0</v>
      </c>
      <c r="B219" s="39" t="s">
        <v>2369</v>
      </c>
      <c r="C219" s="39" t="s">
        <v>2370</v>
      </c>
      <c r="D219" s="39" t="s">
        <v>2371</v>
      </c>
      <c r="E219" s="39" t="s">
        <v>2370</v>
      </c>
      <c r="F219" s="39" t="s">
        <v>128</v>
      </c>
      <c r="G219" s="39" t="s">
        <v>2372</v>
      </c>
      <c r="H219" s="39" t="s">
        <v>2373</v>
      </c>
      <c r="I219" s="39"/>
      <c r="J219" s="39" t="s">
        <v>2374</v>
      </c>
      <c r="K219" s="40">
        <v>8768.0</v>
      </c>
      <c r="L219" s="39" t="s">
        <v>2375</v>
      </c>
      <c r="M219" s="39" t="s">
        <v>191</v>
      </c>
      <c r="N219" s="39" t="s">
        <v>192</v>
      </c>
      <c r="O219" s="39" t="s">
        <v>193</v>
      </c>
      <c r="P219" s="39" t="s">
        <v>194</v>
      </c>
      <c r="Q219" s="40">
        <v>10011.0</v>
      </c>
      <c r="R219" s="39" t="s">
        <v>137</v>
      </c>
      <c r="S219" s="39" t="s">
        <v>16</v>
      </c>
      <c r="T219" s="39" t="s">
        <v>16</v>
      </c>
      <c r="U219" s="39" t="s">
        <v>86</v>
      </c>
      <c r="V219" s="39" t="s">
        <v>195</v>
      </c>
      <c r="W219" s="41">
        <v>44587.0</v>
      </c>
      <c r="X219" s="40">
        <v>104.0</v>
      </c>
      <c r="Y219" s="39" t="s">
        <v>2376</v>
      </c>
      <c r="Z219" s="41">
        <v>36884.0</v>
      </c>
      <c r="AA219" s="39" t="s">
        <v>141</v>
      </c>
      <c r="AB219" s="39" t="s">
        <v>180</v>
      </c>
      <c r="AC219" s="39" t="s">
        <v>181</v>
      </c>
      <c r="AD219" s="40">
        <v>90000.0</v>
      </c>
      <c r="AE219" s="40">
        <v>90000.0</v>
      </c>
      <c r="AF219" s="39" t="s">
        <v>144</v>
      </c>
      <c r="AG219" s="39" t="s">
        <v>145</v>
      </c>
      <c r="AH219" s="39" t="s">
        <v>293</v>
      </c>
      <c r="AI219" s="42" t="s">
        <v>2377</v>
      </c>
      <c r="AJ219" s="42" t="s">
        <v>2378</v>
      </c>
    </row>
    <row r="220" ht="15.75" customHeight="1">
      <c r="A220" s="40">
        <v>219.0</v>
      </c>
      <c r="B220" s="39" t="s">
        <v>2379</v>
      </c>
      <c r="C220" s="39" t="s">
        <v>2380</v>
      </c>
      <c r="D220" s="39" t="s">
        <v>2381</v>
      </c>
      <c r="E220" s="39" t="s">
        <v>2380</v>
      </c>
      <c r="F220" s="39" t="s">
        <v>255</v>
      </c>
      <c r="G220" s="39" t="s">
        <v>2382</v>
      </c>
      <c r="H220" s="39" t="s">
        <v>2383</v>
      </c>
      <c r="I220" s="39"/>
      <c r="J220" s="39" t="s">
        <v>2384</v>
      </c>
      <c r="K220" s="40">
        <v>138.0</v>
      </c>
      <c r="L220" s="39" t="s">
        <v>2385</v>
      </c>
      <c r="M220" s="39" t="s">
        <v>815</v>
      </c>
      <c r="N220" s="39" t="s">
        <v>816</v>
      </c>
      <c r="O220" s="39" t="s">
        <v>817</v>
      </c>
      <c r="P220" s="39" t="s">
        <v>818</v>
      </c>
      <c r="Q220" s="40">
        <v>60606.0</v>
      </c>
      <c r="R220" s="39" t="s">
        <v>137</v>
      </c>
      <c r="S220" s="39" t="s">
        <v>16</v>
      </c>
      <c r="T220" s="39" t="s">
        <v>16</v>
      </c>
      <c r="U220" s="39" t="s">
        <v>84</v>
      </c>
      <c r="V220" s="39" t="s">
        <v>161</v>
      </c>
      <c r="W220" s="41">
        <v>45990.0</v>
      </c>
      <c r="X220" s="40">
        <v>239.0</v>
      </c>
      <c r="Y220" s="39" t="s">
        <v>2386</v>
      </c>
      <c r="Z220" s="41">
        <v>24249.0</v>
      </c>
      <c r="AA220" s="39" t="s">
        <v>163</v>
      </c>
      <c r="AB220" s="39" t="s">
        <v>180</v>
      </c>
      <c r="AC220" s="39" t="s">
        <v>181</v>
      </c>
      <c r="AD220" s="40">
        <v>325000.0</v>
      </c>
      <c r="AE220" s="40">
        <v>325000.0</v>
      </c>
      <c r="AF220" s="39" t="s">
        <v>144</v>
      </c>
      <c r="AG220" s="39" t="s">
        <v>145</v>
      </c>
      <c r="AH220" s="39" t="s">
        <v>146</v>
      </c>
      <c r="AI220" s="42" t="s">
        <v>2387</v>
      </c>
      <c r="AJ220" s="42" t="s">
        <v>2388</v>
      </c>
    </row>
    <row r="221" ht="15.75" customHeight="1">
      <c r="A221" s="40">
        <v>220.0</v>
      </c>
      <c r="B221" s="39" t="s">
        <v>2389</v>
      </c>
      <c r="C221" s="39" t="s">
        <v>2390</v>
      </c>
      <c r="D221" s="39" t="s">
        <v>2391</v>
      </c>
      <c r="E221" s="39" t="s">
        <v>2390</v>
      </c>
      <c r="F221" s="39" t="s">
        <v>186</v>
      </c>
      <c r="G221" s="39" t="s">
        <v>2392</v>
      </c>
      <c r="H221" s="39" t="s">
        <v>2393</v>
      </c>
      <c r="I221" s="39"/>
      <c r="J221" s="39" t="s">
        <v>2394</v>
      </c>
      <c r="K221" s="40">
        <v>2400.0</v>
      </c>
      <c r="L221" s="39" t="s">
        <v>2395</v>
      </c>
      <c r="M221" s="39" t="s">
        <v>752</v>
      </c>
      <c r="N221" s="39" t="s">
        <v>753</v>
      </c>
      <c r="O221" s="39" t="s">
        <v>754</v>
      </c>
      <c r="P221" s="39" t="s">
        <v>194</v>
      </c>
      <c r="Q221" s="40">
        <v>11249.0</v>
      </c>
      <c r="R221" s="39" t="s">
        <v>137</v>
      </c>
      <c r="S221" s="39" t="s">
        <v>16</v>
      </c>
      <c r="T221" s="39" t="s">
        <v>16</v>
      </c>
      <c r="U221" s="39" t="s">
        <v>83</v>
      </c>
      <c r="V221" s="39" t="s">
        <v>161</v>
      </c>
      <c r="W221" s="41">
        <v>45258.0</v>
      </c>
      <c r="X221" s="40">
        <v>138.0</v>
      </c>
      <c r="Y221" s="39" t="s">
        <v>2396</v>
      </c>
      <c r="Z221" s="41">
        <v>32510.0</v>
      </c>
      <c r="AA221" s="39" t="s">
        <v>263</v>
      </c>
      <c r="AB221" s="39" t="s">
        <v>180</v>
      </c>
      <c r="AC221" s="39" t="s">
        <v>181</v>
      </c>
      <c r="AD221" s="40">
        <v>192000.0</v>
      </c>
      <c r="AE221" s="40">
        <v>192000.0</v>
      </c>
      <c r="AF221" s="39" t="s">
        <v>144</v>
      </c>
      <c r="AG221" s="39" t="s">
        <v>145</v>
      </c>
      <c r="AH221" s="39" t="s">
        <v>293</v>
      </c>
      <c r="AI221" s="42" t="s">
        <v>2397</v>
      </c>
      <c r="AJ221" s="42" t="s">
        <v>2398</v>
      </c>
    </row>
    <row r="222" ht="15.75" customHeight="1">
      <c r="A222" s="40">
        <v>221.0</v>
      </c>
      <c r="B222" s="39" t="s">
        <v>2399</v>
      </c>
      <c r="C222" s="39" t="s">
        <v>2400</v>
      </c>
      <c r="D222" s="39" t="s">
        <v>2401</v>
      </c>
      <c r="E222" s="39" t="s">
        <v>2400</v>
      </c>
      <c r="F222" s="39" t="s">
        <v>374</v>
      </c>
      <c r="G222" s="39" t="s">
        <v>2402</v>
      </c>
      <c r="H222" s="39" t="s">
        <v>2403</v>
      </c>
      <c r="I222" s="39"/>
      <c r="J222" s="39" t="s">
        <v>2404</v>
      </c>
      <c r="K222" s="40">
        <v>9560.0</v>
      </c>
      <c r="L222" s="39" t="s">
        <v>2405</v>
      </c>
      <c r="M222" s="39" t="s">
        <v>157</v>
      </c>
      <c r="N222" s="39"/>
      <c r="O222" s="39" t="s">
        <v>158</v>
      </c>
      <c r="P222" s="39" t="s">
        <v>159</v>
      </c>
      <c r="Q222" s="40">
        <v>80202.0</v>
      </c>
      <c r="R222" s="39" t="s">
        <v>137</v>
      </c>
      <c r="S222" s="39" t="s">
        <v>19</v>
      </c>
      <c r="T222" s="39" t="s">
        <v>138</v>
      </c>
      <c r="U222" s="39" t="s">
        <v>68</v>
      </c>
      <c r="V222" s="39" t="s">
        <v>161</v>
      </c>
      <c r="W222" s="41">
        <v>45418.0</v>
      </c>
      <c r="X222" s="40">
        <v>172.0</v>
      </c>
      <c r="Y222" s="39" t="s">
        <v>2406</v>
      </c>
      <c r="Z222" s="41">
        <v>37409.0</v>
      </c>
      <c r="AA222" s="39" t="s">
        <v>263</v>
      </c>
      <c r="AB222" s="39" t="s">
        <v>142</v>
      </c>
      <c r="AC222" s="39" t="s">
        <v>197</v>
      </c>
      <c r="AD222" s="40">
        <v>102000.0</v>
      </c>
      <c r="AE222" s="40">
        <v>102000.0</v>
      </c>
      <c r="AF222" s="39" t="s">
        <v>144</v>
      </c>
      <c r="AG222" s="39" t="s">
        <v>145</v>
      </c>
      <c r="AH222" s="39" t="s">
        <v>264</v>
      </c>
      <c r="AI222" s="42" t="s">
        <v>2407</v>
      </c>
      <c r="AJ222" s="42" t="s">
        <v>2408</v>
      </c>
    </row>
    <row r="223" ht="15.75" customHeight="1">
      <c r="A223" s="40">
        <v>222.0</v>
      </c>
      <c r="B223" s="39" t="s">
        <v>2409</v>
      </c>
      <c r="C223" s="39" t="s">
        <v>2410</v>
      </c>
      <c r="D223" s="39" t="s">
        <v>2411</v>
      </c>
      <c r="E223" s="39" t="s">
        <v>2410</v>
      </c>
      <c r="F223" s="39" t="s">
        <v>128</v>
      </c>
      <c r="G223" s="39" t="s">
        <v>2412</v>
      </c>
      <c r="H223" s="39" t="s">
        <v>2413</v>
      </c>
      <c r="I223" s="39"/>
      <c r="J223" s="39" t="s">
        <v>2414</v>
      </c>
      <c r="K223" s="40">
        <v>7001.0</v>
      </c>
      <c r="L223" s="39" t="s">
        <v>2415</v>
      </c>
      <c r="M223" s="39" t="s">
        <v>260</v>
      </c>
      <c r="N223" s="39" t="s">
        <v>261</v>
      </c>
      <c r="O223" s="39" t="s">
        <v>193</v>
      </c>
      <c r="P223" s="39" t="s">
        <v>194</v>
      </c>
      <c r="Q223" s="40">
        <v>10011.0</v>
      </c>
      <c r="R223" s="39" t="s">
        <v>137</v>
      </c>
      <c r="S223" s="39" t="s">
        <v>19</v>
      </c>
      <c r="T223" s="39" t="s">
        <v>160</v>
      </c>
      <c r="U223" s="39" t="s">
        <v>77</v>
      </c>
      <c r="V223" s="39" t="s">
        <v>195</v>
      </c>
      <c r="W223" s="41">
        <v>45440.0</v>
      </c>
      <c r="X223" s="40">
        <v>46.0</v>
      </c>
      <c r="Y223" s="39" t="s">
        <v>2416</v>
      </c>
      <c r="Z223" s="41">
        <v>37295.0</v>
      </c>
      <c r="AA223" s="39" t="s">
        <v>141</v>
      </c>
      <c r="AB223" s="39" t="s">
        <v>142</v>
      </c>
      <c r="AC223" s="39" t="s">
        <v>197</v>
      </c>
      <c r="AD223" s="40">
        <v>143000.0</v>
      </c>
      <c r="AE223" s="40">
        <v>143000.0</v>
      </c>
      <c r="AF223" s="39" t="s">
        <v>144</v>
      </c>
      <c r="AG223" s="39" t="s">
        <v>145</v>
      </c>
      <c r="AH223" s="39" t="s">
        <v>146</v>
      </c>
      <c r="AI223" s="42" t="s">
        <v>2417</v>
      </c>
      <c r="AJ223" s="42" t="s">
        <v>2418</v>
      </c>
    </row>
    <row r="224" ht="15.75" customHeight="1">
      <c r="A224" s="40">
        <v>223.0</v>
      </c>
      <c r="B224" s="39" t="s">
        <v>2419</v>
      </c>
      <c r="C224" s="39" t="s">
        <v>2420</v>
      </c>
      <c r="D224" s="39" t="s">
        <v>2421</v>
      </c>
      <c r="E224" s="39" t="s">
        <v>2420</v>
      </c>
      <c r="F224" s="39" t="s">
        <v>231</v>
      </c>
      <c r="G224" s="39" t="s">
        <v>2422</v>
      </c>
      <c r="H224" s="39" t="s">
        <v>2423</v>
      </c>
      <c r="I224" s="39"/>
      <c r="J224" s="39" t="s">
        <v>2424</v>
      </c>
      <c r="K224" s="40">
        <v>8257.0</v>
      </c>
      <c r="L224" s="39" t="s">
        <v>2425</v>
      </c>
      <c r="M224" s="39" t="s">
        <v>247</v>
      </c>
      <c r="N224" s="39" t="s">
        <v>248</v>
      </c>
      <c r="O224" s="39" t="s">
        <v>135</v>
      </c>
      <c r="P224" s="39" t="s">
        <v>136</v>
      </c>
      <c r="Q224" s="40">
        <v>94103.0</v>
      </c>
      <c r="R224" s="39" t="s">
        <v>137</v>
      </c>
      <c r="S224" s="39" t="s">
        <v>19</v>
      </c>
      <c r="T224" s="39" t="s">
        <v>236</v>
      </c>
      <c r="U224" s="39" t="s">
        <v>75</v>
      </c>
      <c r="V224" s="39" t="s">
        <v>139</v>
      </c>
      <c r="W224" s="41">
        <v>45322.0</v>
      </c>
      <c r="X224" s="40">
        <v>61.0</v>
      </c>
      <c r="Y224" s="39" t="s">
        <v>2426</v>
      </c>
      <c r="Z224" s="41">
        <v>34927.0</v>
      </c>
      <c r="AA224" s="39" t="s">
        <v>141</v>
      </c>
      <c r="AB224" s="39" t="s">
        <v>180</v>
      </c>
      <c r="AC224" s="39" t="s">
        <v>197</v>
      </c>
      <c r="AD224" s="40">
        <v>162000.0</v>
      </c>
      <c r="AE224" s="40">
        <v>162000.0</v>
      </c>
      <c r="AF224" s="39" t="s">
        <v>144</v>
      </c>
      <c r="AG224" s="39" t="s">
        <v>145</v>
      </c>
      <c r="AH224" s="39" t="s">
        <v>293</v>
      </c>
      <c r="AI224" s="42" t="s">
        <v>2427</v>
      </c>
      <c r="AJ224" s="42" t="s">
        <v>2428</v>
      </c>
    </row>
    <row r="225" ht="15.75" customHeight="1">
      <c r="A225" s="40">
        <v>224.0</v>
      </c>
      <c r="B225" s="39" t="s">
        <v>2429</v>
      </c>
      <c r="C225" s="39" t="s">
        <v>2430</v>
      </c>
      <c r="D225" s="39" t="s">
        <v>2431</v>
      </c>
      <c r="E225" s="39" t="s">
        <v>2430</v>
      </c>
      <c r="F225" s="39" t="s">
        <v>374</v>
      </c>
      <c r="G225" s="39" t="s">
        <v>2432</v>
      </c>
      <c r="H225" s="39" t="s">
        <v>2433</v>
      </c>
      <c r="I225" s="39"/>
      <c r="J225" s="39" t="s">
        <v>2434</v>
      </c>
      <c r="K225" s="40">
        <v>121.0</v>
      </c>
      <c r="L225" s="39" t="s">
        <v>2435</v>
      </c>
      <c r="M225" s="39" t="s">
        <v>222</v>
      </c>
      <c r="N225" s="39" t="s">
        <v>223</v>
      </c>
      <c r="O225" s="39" t="s">
        <v>135</v>
      </c>
      <c r="P225" s="39" t="s">
        <v>136</v>
      </c>
      <c r="Q225" s="40">
        <v>94104.0</v>
      </c>
      <c r="R225" s="39" t="s">
        <v>137</v>
      </c>
      <c r="S225" s="39" t="s">
        <v>19</v>
      </c>
      <c r="T225" s="39" t="s">
        <v>138</v>
      </c>
      <c r="U225" s="39" t="s">
        <v>77</v>
      </c>
      <c r="V225" s="39" t="s">
        <v>139</v>
      </c>
      <c r="W225" s="41">
        <v>45546.0</v>
      </c>
      <c r="X225" s="40">
        <v>173.0</v>
      </c>
      <c r="Y225" s="39" t="s">
        <v>2436</v>
      </c>
      <c r="Z225" s="41">
        <v>34171.0</v>
      </c>
      <c r="AA225" s="39" t="s">
        <v>141</v>
      </c>
      <c r="AB225" s="39" t="s">
        <v>142</v>
      </c>
      <c r="AC225" s="39" t="s">
        <v>292</v>
      </c>
      <c r="AD225" s="40">
        <v>110000.0</v>
      </c>
      <c r="AE225" s="40">
        <v>110000.0</v>
      </c>
      <c r="AF225" s="39" t="s">
        <v>144</v>
      </c>
      <c r="AG225" s="39" t="s">
        <v>145</v>
      </c>
      <c r="AH225" s="39" t="s">
        <v>264</v>
      </c>
      <c r="AI225" s="42" t="s">
        <v>2437</v>
      </c>
      <c r="AJ225" s="42" t="s">
        <v>2438</v>
      </c>
    </row>
    <row r="226" ht="15.75" customHeight="1">
      <c r="A226" s="40">
        <v>225.0</v>
      </c>
      <c r="B226" s="39" t="s">
        <v>2439</v>
      </c>
      <c r="C226" s="39" t="s">
        <v>2440</v>
      </c>
      <c r="D226" s="39" t="s">
        <v>2441</v>
      </c>
      <c r="E226" s="39" t="s">
        <v>2440</v>
      </c>
      <c r="F226" s="39" t="s">
        <v>255</v>
      </c>
      <c r="G226" s="39" t="s">
        <v>2442</v>
      </c>
      <c r="H226" s="39" t="s">
        <v>2443</v>
      </c>
      <c r="I226" s="39"/>
      <c r="J226" s="39" t="s">
        <v>2444</v>
      </c>
      <c r="K226" s="40">
        <v>5320.0</v>
      </c>
      <c r="L226" s="39" t="s">
        <v>2445</v>
      </c>
      <c r="M226" s="39" t="s">
        <v>133</v>
      </c>
      <c r="N226" s="39" t="s">
        <v>134</v>
      </c>
      <c r="O226" s="39" t="s">
        <v>135</v>
      </c>
      <c r="P226" s="39" t="s">
        <v>136</v>
      </c>
      <c r="Q226" s="40">
        <v>94108.0</v>
      </c>
      <c r="R226" s="39" t="s">
        <v>137</v>
      </c>
      <c r="S226" s="39" t="s">
        <v>19</v>
      </c>
      <c r="T226" s="39" t="s">
        <v>236</v>
      </c>
      <c r="U226" s="39" t="s">
        <v>69</v>
      </c>
      <c r="V226" s="39" t="s">
        <v>139</v>
      </c>
      <c r="W226" s="41">
        <v>45880.0</v>
      </c>
      <c r="X226" s="40">
        <v>237.0</v>
      </c>
      <c r="Y226" s="39" t="s">
        <v>2446</v>
      </c>
      <c r="Z226" s="41">
        <v>31916.0</v>
      </c>
      <c r="AA226" s="39" t="s">
        <v>141</v>
      </c>
      <c r="AB226" s="39" t="s">
        <v>142</v>
      </c>
      <c r="AC226" s="39" t="s">
        <v>279</v>
      </c>
      <c r="AD226" s="40">
        <v>181000.0</v>
      </c>
      <c r="AE226" s="40">
        <v>181000.0</v>
      </c>
      <c r="AF226" s="39" t="s">
        <v>144</v>
      </c>
      <c r="AG226" s="39" t="s">
        <v>145</v>
      </c>
      <c r="AH226" s="39" t="s">
        <v>293</v>
      </c>
      <c r="AI226" s="42" t="s">
        <v>2447</v>
      </c>
      <c r="AJ226" s="42" t="s">
        <v>2448</v>
      </c>
    </row>
    <row r="227" ht="15.75" customHeight="1">
      <c r="A227" s="40">
        <v>226.0</v>
      </c>
      <c r="B227" s="39" t="s">
        <v>2449</v>
      </c>
      <c r="C227" s="39" t="s">
        <v>2450</v>
      </c>
      <c r="D227" s="39" t="s">
        <v>2451</v>
      </c>
      <c r="E227" s="39" t="s">
        <v>2450</v>
      </c>
      <c r="F227" s="39" t="s">
        <v>374</v>
      </c>
      <c r="G227" s="39" t="s">
        <v>2452</v>
      </c>
      <c r="H227" s="39" t="s">
        <v>2453</v>
      </c>
      <c r="I227" s="39"/>
      <c r="J227" s="39" t="s">
        <v>2454</v>
      </c>
      <c r="K227" s="40">
        <v>1951.0</v>
      </c>
      <c r="L227" s="39" t="s">
        <v>2455</v>
      </c>
      <c r="M227" s="39" t="s">
        <v>839</v>
      </c>
      <c r="N227" s="39" t="s">
        <v>840</v>
      </c>
      <c r="O227" s="39" t="s">
        <v>841</v>
      </c>
      <c r="P227" s="39" t="s">
        <v>842</v>
      </c>
      <c r="Q227" s="40">
        <v>30309.0</v>
      </c>
      <c r="R227" s="39" t="s">
        <v>137</v>
      </c>
      <c r="S227" s="39" t="s">
        <v>19</v>
      </c>
      <c r="T227" s="39" t="s">
        <v>236</v>
      </c>
      <c r="U227" s="39" t="s">
        <v>68</v>
      </c>
      <c r="V227" s="39" t="s">
        <v>161</v>
      </c>
      <c r="W227" s="41">
        <v>45537.0</v>
      </c>
      <c r="X227" s="40">
        <v>225.0</v>
      </c>
      <c r="Y227" s="39" t="s">
        <v>2456</v>
      </c>
      <c r="Z227" s="41">
        <v>31517.0</v>
      </c>
      <c r="AA227" s="39" t="s">
        <v>163</v>
      </c>
      <c r="AB227" s="39" t="s">
        <v>225</v>
      </c>
      <c r="AC227" s="39" t="s">
        <v>197</v>
      </c>
      <c r="AD227" s="40">
        <v>136000.0</v>
      </c>
      <c r="AE227" s="40">
        <v>136000.0</v>
      </c>
      <c r="AF227" s="39" t="s">
        <v>144</v>
      </c>
      <c r="AG227" s="39" t="s">
        <v>145</v>
      </c>
      <c r="AH227" s="39" t="s">
        <v>293</v>
      </c>
      <c r="AI227" s="42" t="s">
        <v>2457</v>
      </c>
      <c r="AJ227" s="42" t="s">
        <v>2458</v>
      </c>
    </row>
    <row r="228" ht="15.75" customHeight="1">
      <c r="A228" s="40">
        <v>227.0</v>
      </c>
      <c r="B228" s="39" t="s">
        <v>2459</v>
      </c>
      <c r="C228" s="39" t="s">
        <v>2460</v>
      </c>
      <c r="D228" s="39" t="s">
        <v>2461</v>
      </c>
      <c r="E228" s="39" t="s">
        <v>2460</v>
      </c>
      <c r="F228" s="39" t="s">
        <v>374</v>
      </c>
      <c r="G228" s="39" t="s">
        <v>2462</v>
      </c>
      <c r="H228" s="39" t="s">
        <v>2463</v>
      </c>
      <c r="I228" s="39"/>
      <c r="J228" s="39" t="s">
        <v>2464</v>
      </c>
      <c r="K228" s="40">
        <v>8445.0</v>
      </c>
      <c r="L228" s="39" t="s">
        <v>2465</v>
      </c>
      <c r="M228" s="39" t="s">
        <v>346</v>
      </c>
      <c r="N228" s="39"/>
      <c r="O228" s="39" t="s">
        <v>174</v>
      </c>
      <c r="P228" s="39" t="s">
        <v>175</v>
      </c>
      <c r="Q228" s="39" t="s">
        <v>347</v>
      </c>
      <c r="R228" s="39" t="s">
        <v>177</v>
      </c>
      <c r="S228" s="39" t="s">
        <v>19</v>
      </c>
      <c r="T228" s="39" t="s">
        <v>138</v>
      </c>
      <c r="U228" s="39" t="s">
        <v>71</v>
      </c>
      <c r="V228" s="39" t="s">
        <v>178</v>
      </c>
      <c r="W228" s="41">
        <v>45834.0</v>
      </c>
      <c r="X228" s="40">
        <v>205.0</v>
      </c>
      <c r="Y228" s="39" t="s">
        <v>2466</v>
      </c>
      <c r="Z228" s="41">
        <v>35484.0</v>
      </c>
      <c r="AA228" s="39" t="s">
        <v>163</v>
      </c>
      <c r="AB228" s="39" t="s">
        <v>142</v>
      </c>
      <c r="AC228" s="39" t="s">
        <v>197</v>
      </c>
      <c r="AD228" s="40">
        <v>122000.0</v>
      </c>
      <c r="AE228" s="40">
        <v>122000.0</v>
      </c>
      <c r="AF228" s="39" t="s">
        <v>144</v>
      </c>
      <c r="AG228" s="39" t="s">
        <v>145</v>
      </c>
      <c r="AH228" s="39" t="s">
        <v>146</v>
      </c>
      <c r="AI228" s="42" t="s">
        <v>2467</v>
      </c>
      <c r="AJ228" s="42" t="s">
        <v>2468</v>
      </c>
    </row>
    <row r="229" ht="15.75" customHeight="1">
      <c r="A229" s="40">
        <v>228.0</v>
      </c>
      <c r="B229" s="39" t="s">
        <v>2469</v>
      </c>
      <c r="C229" s="39" t="s">
        <v>2470</v>
      </c>
      <c r="D229" s="39" t="s">
        <v>2471</v>
      </c>
      <c r="E229" s="39" t="s">
        <v>2470</v>
      </c>
      <c r="F229" s="39" t="s">
        <v>203</v>
      </c>
      <c r="G229" s="39" t="s">
        <v>2472</v>
      </c>
      <c r="H229" s="39" t="s">
        <v>2473</v>
      </c>
      <c r="I229" s="39"/>
      <c r="J229" s="39" t="s">
        <v>2474</v>
      </c>
      <c r="K229" s="40">
        <v>4330.0</v>
      </c>
      <c r="L229" s="39" t="s">
        <v>2475</v>
      </c>
      <c r="M229" s="39" t="s">
        <v>191</v>
      </c>
      <c r="N229" s="39" t="s">
        <v>192</v>
      </c>
      <c r="O229" s="39" t="s">
        <v>193</v>
      </c>
      <c r="P229" s="39" t="s">
        <v>194</v>
      </c>
      <c r="Q229" s="40">
        <v>10011.0</v>
      </c>
      <c r="R229" s="39" t="s">
        <v>137</v>
      </c>
      <c r="S229" s="39" t="s">
        <v>19</v>
      </c>
      <c r="T229" s="39" t="s">
        <v>138</v>
      </c>
      <c r="U229" s="39" t="s">
        <v>76</v>
      </c>
      <c r="V229" s="39" t="s">
        <v>195</v>
      </c>
      <c r="W229" s="41">
        <v>44857.0</v>
      </c>
      <c r="X229" s="40">
        <v>206.0</v>
      </c>
      <c r="Y229" s="39" t="s">
        <v>2476</v>
      </c>
      <c r="Z229" s="41">
        <v>34618.0</v>
      </c>
      <c r="AA229" s="39" t="s">
        <v>163</v>
      </c>
      <c r="AB229" s="39" t="s">
        <v>142</v>
      </c>
      <c r="AC229" s="39" t="s">
        <v>143</v>
      </c>
      <c r="AD229" s="40">
        <v>169000.0</v>
      </c>
      <c r="AE229" s="40">
        <v>169000.0</v>
      </c>
      <c r="AF229" s="39" t="s">
        <v>144</v>
      </c>
      <c r="AG229" s="39" t="s">
        <v>145</v>
      </c>
      <c r="AH229" s="39" t="s">
        <v>146</v>
      </c>
      <c r="AI229" s="42" t="s">
        <v>2477</v>
      </c>
      <c r="AJ229" s="42" t="s">
        <v>2478</v>
      </c>
    </row>
    <row r="230" ht="15.75" customHeight="1">
      <c r="A230" s="40">
        <v>229.0</v>
      </c>
      <c r="B230" s="39" t="s">
        <v>2479</v>
      </c>
      <c r="C230" s="39" t="s">
        <v>1145</v>
      </c>
      <c r="D230" s="39" t="s">
        <v>2480</v>
      </c>
      <c r="E230" s="39" t="s">
        <v>1145</v>
      </c>
      <c r="F230" s="39" t="s">
        <v>427</v>
      </c>
      <c r="G230" s="39" t="s">
        <v>2481</v>
      </c>
      <c r="H230" s="39" t="s">
        <v>2482</v>
      </c>
      <c r="I230" s="39"/>
      <c r="J230" s="39" t="s">
        <v>2483</v>
      </c>
      <c r="K230" s="40">
        <v>2791.0</v>
      </c>
      <c r="L230" s="39" t="s">
        <v>2484</v>
      </c>
      <c r="M230" s="39" t="s">
        <v>222</v>
      </c>
      <c r="N230" s="39" t="s">
        <v>223</v>
      </c>
      <c r="O230" s="39" t="s">
        <v>135</v>
      </c>
      <c r="P230" s="39" t="s">
        <v>136</v>
      </c>
      <c r="Q230" s="40">
        <v>94104.0</v>
      </c>
      <c r="R230" s="39" t="s">
        <v>137</v>
      </c>
      <c r="S230" s="39" t="s">
        <v>18</v>
      </c>
      <c r="T230" s="39" t="s">
        <v>593</v>
      </c>
      <c r="U230" s="39" t="s">
        <v>64</v>
      </c>
      <c r="V230" s="39" t="s">
        <v>139</v>
      </c>
      <c r="W230" s="41">
        <v>45648.0</v>
      </c>
      <c r="X230" s="40">
        <v>68.0</v>
      </c>
      <c r="Y230" s="39" t="s">
        <v>2485</v>
      </c>
      <c r="Z230" s="41">
        <v>34489.0</v>
      </c>
      <c r="AA230" s="39" t="s">
        <v>141</v>
      </c>
      <c r="AB230" s="39" t="s">
        <v>142</v>
      </c>
      <c r="AC230" s="39" t="s">
        <v>279</v>
      </c>
      <c r="AD230" s="40">
        <v>135000.0</v>
      </c>
      <c r="AE230" s="40">
        <v>135000.0</v>
      </c>
      <c r="AF230" s="39" t="s">
        <v>144</v>
      </c>
      <c r="AG230" s="39" t="s">
        <v>145</v>
      </c>
      <c r="AH230" s="39" t="s">
        <v>146</v>
      </c>
      <c r="AI230" s="42" t="s">
        <v>2486</v>
      </c>
      <c r="AJ230" s="42" t="s">
        <v>2487</v>
      </c>
    </row>
    <row r="231" ht="15.75" customHeight="1">
      <c r="A231" s="40">
        <v>230.0</v>
      </c>
      <c r="B231" s="39" t="s">
        <v>2488</v>
      </c>
      <c r="C231" s="39" t="s">
        <v>2489</v>
      </c>
      <c r="D231" s="39" t="s">
        <v>2490</v>
      </c>
      <c r="E231" s="39" t="s">
        <v>2489</v>
      </c>
      <c r="F231" s="39" t="s">
        <v>270</v>
      </c>
      <c r="G231" s="39" t="s">
        <v>2491</v>
      </c>
      <c r="H231" s="39" t="s">
        <v>2492</v>
      </c>
      <c r="I231" s="39"/>
      <c r="J231" s="39" t="s">
        <v>2493</v>
      </c>
      <c r="K231" s="40">
        <v>744.0</v>
      </c>
      <c r="L231" s="39" t="s">
        <v>2494</v>
      </c>
      <c r="M231" s="39" t="s">
        <v>222</v>
      </c>
      <c r="N231" s="39" t="s">
        <v>223</v>
      </c>
      <c r="O231" s="39" t="s">
        <v>135</v>
      </c>
      <c r="P231" s="39" t="s">
        <v>136</v>
      </c>
      <c r="Q231" s="40">
        <v>94104.0</v>
      </c>
      <c r="R231" s="39" t="s">
        <v>137</v>
      </c>
      <c r="S231" s="39" t="s">
        <v>18</v>
      </c>
      <c r="T231" s="39" t="s">
        <v>593</v>
      </c>
      <c r="U231" s="39" t="s">
        <v>60</v>
      </c>
      <c r="V231" s="39" t="s">
        <v>139</v>
      </c>
      <c r="W231" s="41">
        <v>45788.0</v>
      </c>
      <c r="X231" s="40">
        <v>102.0</v>
      </c>
      <c r="Y231" s="39" t="s">
        <v>2495</v>
      </c>
      <c r="Z231" s="41">
        <v>28614.0</v>
      </c>
      <c r="AA231" s="39" t="s">
        <v>163</v>
      </c>
      <c r="AB231" s="39" t="s">
        <v>304</v>
      </c>
      <c r="AC231" s="39" t="s">
        <v>197</v>
      </c>
      <c r="AD231" s="40">
        <v>207000.0</v>
      </c>
      <c r="AE231" s="40">
        <v>207000.0</v>
      </c>
      <c r="AF231" s="39" t="s">
        <v>144</v>
      </c>
      <c r="AG231" s="39" t="s">
        <v>145</v>
      </c>
      <c r="AH231" s="39" t="s">
        <v>293</v>
      </c>
      <c r="AI231" s="42" t="s">
        <v>2496</v>
      </c>
      <c r="AJ231" s="42" t="s">
        <v>2497</v>
      </c>
    </row>
    <row r="232" ht="15.75" customHeight="1">
      <c r="A232" s="40">
        <v>231.0</v>
      </c>
      <c r="B232" s="39" t="s">
        <v>2498</v>
      </c>
      <c r="C232" s="39" t="s">
        <v>2499</v>
      </c>
      <c r="D232" s="39" t="s">
        <v>2500</v>
      </c>
      <c r="E232" s="39" t="s">
        <v>2499</v>
      </c>
      <c r="F232" s="39" t="s">
        <v>186</v>
      </c>
      <c r="G232" s="39" t="s">
        <v>2501</v>
      </c>
      <c r="H232" s="39" t="s">
        <v>2502</v>
      </c>
      <c r="I232" s="39"/>
      <c r="J232" s="39" t="s">
        <v>2503</v>
      </c>
      <c r="K232" s="40">
        <v>6170.0</v>
      </c>
      <c r="L232" s="39" t="s">
        <v>2504</v>
      </c>
      <c r="M232" s="39" t="s">
        <v>191</v>
      </c>
      <c r="N232" s="39" t="s">
        <v>192</v>
      </c>
      <c r="O232" s="39" t="s">
        <v>193</v>
      </c>
      <c r="P232" s="39" t="s">
        <v>194</v>
      </c>
      <c r="Q232" s="40">
        <v>10011.0</v>
      </c>
      <c r="R232" s="39" t="s">
        <v>137</v>
      </c>
      <c r="S232" s="39" t="s">
        <v>17</v>
      </c>
      <c r="T232" s="39" t="s">
        <v>17</v>
      </c>
      <c r="U232" s="39" t="s">
        <v>51</v>
      </c>
      <c r="V232" s="39" t="s">
        <v>195</v>
      </c>
      <c r="W232" s="41">
        <v>45014.0</v>
      </c>
      <c r="X232" s="40">
        <v>70.0</v>
      </c>
      <c r="Y232" s="39" t="s">
        <v>2505</v>
      </c>
      <c r="Z232" s="41">
        <v>29236.0</v>
      </c>
      <c r="AA232" s="39" t="s">
        <v>163</v>
      </c>
      <c r="AB232" s="39" t="s">
        <v>304</v>
      </c>
      <c r="AC232" s="39" t="s">
        <v>143</v>
      </c>
      <c r="AD232" s="40">
        <v>123000.0</v>
      </c>
      <c r="AE232" s="40">
        <v>123000.0</v>
      </c>
      <c r="AF232" s="39" t="s">
        <v>144</v>
      </c>
      <c r="AG232" s="39" t="s">
        <v>145</v>
      </c>
      <c r="AH232" s="39" t="s">
        <v>146</v>
      </c>
      <c r="AI232" s="42" t="s">
        <v>2506</v>
      </c>
      <c r="AJ232" s="42" t="s">
        <v>2507</v>
      </c>
    </row>
    <row r="233" ht="15.75" customHeight="1">
      <c r="A233" s="40">
        <v>232.0</v>
      </c>
      <c r="B233" s="39" t="s">
        <v>2508</v>
      </c>
      <c r="C233" s="39" t="s">
        <v>2509</v>
      </c>
      <c r="D233" s="39" t="s">
        <v>2510</v>
      </c>
      <c r="E233" s="39" t="s">
        <v>2509</v>
      </c>
      <c r="F233" s="39" t="s">
        <v>270</v>
      </c>
      <c r="G233" s="39" t="s">
        <v>2511</v>
      </c>
      <c r="H233" s="39" t="s">
        <v>2512</v>
      </c>
      <c r="I233" s="39"/>
      <c r="J233" s="39" t="s">
        <v>2513</v>
      </c>
      <c r="K233" s="40">
        <v>4875.0</v>
      </c>
      <c r="L233" s="39" t="s">
        <v>2514</v>
      </c>
      <c r="M233" s="39" t="s">
        <v>839</v>
      </c>
      <c r="N233" s="39" t="s">
        <v>840</v>
      </c>
      <c r="O233" s="39" t="s">
        <v>841</v>
      </c>
      <c r="P233" s="39" t="s">
        <v>842</v>
      </c>
      <c r="Q233" s="40">
        <v>30309.0</v>
      </c>
      <c r="R233" s="39" t="s">
        <v>137</v>
      </c>
      <c r="S233" s="39" t="s">
        <v>17</v>
      </c>
      <c r="T233" s="39" t="s">
        <v>17</v>
      </c>
      <c r="U233" s="39" t="s">
        <v>46</v>
      </c>
      <c r="V233" s="39" t="s">
        <v>161</v>
      </c>
      <c r="W233" s="41">
        <v>45199.0</v>
      </c>
      <c r="X233" s="40">
        <v>178.0</v>
      </c>
      <c r="Y233" s="39" t="s">
        <v>2515</v>
      </c>
      <c r="Z233" s="41">
        <v>32756.0</v>
      </c>
      <c r="AA233" s="39" t="s">
        <v>141</v>
      </c>
      <c r="AB233" s="39" t="s">
        <v>142</v>
      </c>
      <c r="AC233" s="39" t="s">
        <v>181</v>
      </c>
      <c r="AD233" s="40">
        <v>120000.0</v>
      </c>
      <c r="AE233" s="40">
        <v>120000.0</v>
      </c>
      <c r="AF233" s="39" t="s">
        <v>144</v>
      </c>
      <c r="AG233" s="39" t="s">
        <v>145</v>
      </c>
      <c r="AH233" s="39" t="s">
        <v>146</v>
      </c>
      <c r="AI233" s="42" t="s">
        <v>2516</v>
      </c>
      <c r="AJ233" s="42" t="s">
        <v>2517</v>
      </c>
    </row>
    <row r="234" ht="15.75" customHeight="1">
      <c r="A234" s="40">
        <v>233.0</v>
      </c>
      <c r="B234" s="39" t="s">
        <v>2518</v>
      </c>
      <c r="C234" s="39" t="s">
        <v>2519</v>
      </c>
      <c r="D234" s="39" t="s">
        <v>2520</v>
      </c>
      <c r="E234" s="39" t="s">
        <v>2519</v>
      </c>
      <c r="F234" s="39" t="s">
        <v>152</v>
      </c>
      <c r="G234" s="39" t="s">
        <v>2521</v>
      </c>
      <c r="H234" s="39" t="s">
        <v>2522</v>
      </c>
      <c r="I234" s="39"/>
      <c r="J234" s="39" t="s">
        <v>2523</v>
      </c>
      <c r="K234" s="40">
        <v>2629.0</v>
      </c>
      <c r="L234" s="39" t="s">
        <v>2524</v>
      </c>
      <c r="M234" s="39" t="s">
        <v>260</v>
      </c>
      <c r="N234" s="39" t="s">
        <v>261</v>
      </c>
      <c r="O234" s="39" t="s">
        <v>193</v>
      </c>
      <c r="P234" s="39" t="s">
        <v>194</v>
      </c>
      <c r="Q234" s="40">
        <v>10011.0</v>
      </c>
      <c r="R234" s="39" t="s">
        <v>137</v>
      </c>
      <c r="S234" s="39" t="s">
        <v>16</v>
      </c>
      <c r="T234" s="39" t="s">
        <v>16</v>
      </c>
      <c r="U234" s="39" t="s">
        <v>84</v>
      </c>
      <c r="V234" s="39" t="s">
        <v>195</v>
      </c>
      <c r="W234" s="41">
        <v>44997.0</v>
      </c>
      <c r="X234" s="40">
        <v>239.0</v>
      </c>
      <c r="Y234" s="39" t="s">
        <v>2525</v>
      </c>
      <c r="Z234" s="41">
        <v>30335.0</v>
      </c>
      <c r="AA234" s="39" t="s">
        <v>163</v>
      </c>
      <c r="AB234" s="39" t="s">
        <v>142</v>
      </c>
      <c r="AC234" s="39" t="s">
        <v>197</v>
      </c>
      <c r="AD234" s="40">
        <v>228000.0</v>
      </c>
      <c r="AE234" s="40">
        <v>228000.0</v>
      </c>
      <c r="AF234" s="39" t="s">
        <v>144</v>
      </c>
      <c r="AG234" s="39" t="s">
        <v>145</v>
      </c>
      <c r="AH234" s="39" t="s">
        <v>264</v>
      </c>
      <c r="AI234" s="42" t="s">
        <v>2526</v>
      </c>
      <c r="AJ234" s="42" t="s">
        <v>2527</v>
      </c>
    </row>
    <row r="235" ht="15.75" customHeight="1">
      <c r="A235" s="40">
        <v>234.0</v>
      </c>
      <c r="B235" s="39" t="s">
        <v>2528</v>
      </c>
      <c r="C235" s="39" t="s">
        <v>2281</v>
      </c>
      <c r="D235" s="39" t="s">
        <v>1357</v>
      </c>
      <c r="E235" s="39" t="s">
        <v>2281</v>
      </c>
      <c r="F235" s="39" t="s">
        <v>217</v>
      </c>
      <c r="G235" s="39" t="s">
        <v>2529</v>
      </c>
      <c r="H235" s="39" t="s">
        <v>2530</v>
      </c>
      <c r="I235" s="39"/>
      <c r="J235" s="39" t="s">
        <v>2531</v>
      </c>
      <c r="K235" s="40">
        <v>2275.0</v>
      </c>
      <c r="L235" s="39" t="s">
        <v>2532</v>
      </c>
      <c r="M235" s="39" t="s">
        <v>247</v>
      </c>
      <c r="N235" s="39" t="s">
        <v>248</v>
      </c>
      <c r="O235" s="39" t="s">
        <v>135</v>
      </c>
      <c r="P235" s="39" t="s">
        <v>136</v>
      </c>
      <c r="Q235" s="40">
        <v>94103.0</v>
      </c>
      <c r="R235" s="39" t="s">
        <v>137</v>
      </c>
      <c r="S235" s="39" t="s">
        <v>16</v>
      </c>
      <c r="T235" s="39" t="s">
        <v>16</v>
      </c>
      <c r="U235" s="39" t="s">
        <v>81</v>
      </c>
      <c r="V235" s="39" t="s">
        <v>139</v>
      </c>
      <c r="W235" s="41">
        <v>45857.0</v>
      </c>
      <c r="X235" s="40">
        <v>187.0</v>
      </c>
      <c r="Y235" s="39" t="s">
        <v>2533</v>
      </c>
      <c r="Z235" s="41">
        <v>32847.0</v>
      </c>
      <c r="AA235" s="39" t="s">
        <v>163</v>
      </c>
      <c r="AB235" s="39" t="s">
        <v>142</v>
      </c>
      <c r="AC235" s="39" t="s">
        <v>279</v>
      </c>
      <c r="AD235" s="40">
        <v>188000.0</v>
      </c>
      <c r="AE235" s="40">
        <v>188000.0</v>
      </c>
      <c r="AF235" s="39" t="s">
        <v>144</v>
      </c>
      <c r="AG235" s="39" t="s">
        <v>145</v>
      </c>
      <c r="AH235" s="39" t="s">
        <v>146</v>
      </c>
      <c r="AI235" s="42" t="s">
        <v>2534</v>
      </c>
      <c r="AJ235" s="42" t="s">
        <v>2535</v>
      </c>
    </row>
    <row r="236" ht="15.75" customHeight="1">
      <c r="A236" s="40">
        <v>235.0</v>
      </c>
      <c r="B236" s="39" t="s">
        <v>2536</v>
      </c>
      <c r="C236" s="39" t="s">
        <v>2537</v>
      </c>
      <c r="D236" s="39" t="s">
        <v>2538</v>
      </c>
      <c r="E236" s="39" t="s">
        <v>2537</v>
      </c>
      <c r="F236" s="39" t="s">
        <v>203</v>
      </c>
      <c r="G236" s="39" t="s">
        <v>2539</v>
      </c>
      <c r="H236" s="39" t="s">
        <v>2540</v>
      </c>
      <c r="I236" s="39"/>
      <c r="J236" s="39" t="s">
        <v>2541</v>
      </c>
      <c r="K236" s="40">
        <v>163.0</v>
      </c>
      <c r="L236" s="39" t="s">
        <v>2542</v>
      </c>
      <c r="M236" s="39" t="s">
        <v>1300</v>
      </c>
      <c r="N236" s="39"/>
      <c r="O236" s="39" t="s">
        <v>1301</v>
      </c>
      <c r="P236" s="39" t="s">
        <v>1302</v>
      </c>
      <c r="Q236" s="40">
        <v>97477.0</v>
      </c>
      <c r="R236" s="39" t="s">
        <v>137</v>
      </c>
      <c r="S236" s="39" t="s">
        <v>16</v>
      </c>
      <c r="T236" s="39" t="s">
        <v>16</v>
      </c>
      <c r="U236" s="39" t="s">
        <v>87</v>
      </c>
      <c r="V236" s="39" t="s">
        <v>161</v>
      </c>
      <c r="W236" s="41">
        <v>45762.0</v>
      </c>
      <c r="X236" s="40">
        <v>104.0</v>
      </c>
      <c r="Y236" s="39" t="s">
        <v>2543</v>
      </c>
      <c r="Z236" s="41">
        <v>30839.0</v>
      </c>
      <c r="AA236" s="39" t="s">
        <v>141</v>
      </c>
      <c r="AB236" s="39" t="s">
        <v>180</v>
      </c>
      <c r="AC236" s="39" t="s">
        <v>197</v>
      </c>
      <c r="AD236" s="40">
        <v>188000.0</v>
      </c>
      <c r="AE236" s="40">
        <v>188000.0</v>
      </c>
      <c r="AF236" s="39" t="s">
        <v>144</v>
      </c>
      <c r="AG236" s="39" t="s">
        <v>145</v>
      </c>
      <c r="AH236" s="39" t="s">
        <v>293</v>
      </c>
      <c r="AI236" s="42" t="s">
        <v>2544</v>
      </c>
      <c r="AJ236" s="42" t="s">
        <v>2545</v>
      </c>
    </row>
    <row r="237" ht="15.75" customHeight="1">
      <c r="A237" s="40">
        <v>236.0</v>
      </c>
      <c r="B237" s="39" t="s">
        <v>2546</v>
      </c>
      <c r="C237" s="39" t="s">
        <v>2547</v>
      </c>
      <c r="D237" s="39" t="s">
        <v>427</v>
      </c>
      <c r="E237" s="39" t="s">
        <v>2547</v>
      </c>
      <c r="F237" s="39" t="s">
        <v>270</v>
      </c>
      <c r="G237" s="39" t="s">
        <v>2548</v>
      </c>
      <c r="H237" s="39" t="s">
        <v>2549</v>
      </c>
      <c r="I237" s="39"/>
      <c r="J237" s="39" t="s">
        <v>2550</v>
      </c>
      <c r="K237" s="40">
        <v>2610.0</v>
      </c>
      <c r="L237" s="39" t="s">
        <v>2551</v>
      </c>
      <c r="M237" s="39" t="s">
        <v>208</v>
      </c>
      <c r="N237" s="39" t="s">
        <v>209</v>
      </c>
      <c r="O237" s="39" t="s">
        <v>135</v>
      </c>
      <c r="P237" s="39" t="s">
        <v>136</v>
      </c>
      <c r="Q237" s="40">
        <v>94105.0</v>
      </c>
      <c r="R237" s="39" t="s">
        <v>137</v>
      </c>
      <c r="S237" s="39" t="s">
        <v>18</v>
      </c>
      <c r="T237" s="39" t="s">
        <v>2552</v>
      </c>
      <c r="U237" s="39" t="s">
        <v>55</v>
      </c>
      <c r="V237" s="39" t="s">
        <v>139</v>
      </c>
      <c r="W237" s="41">
        <v>45227.0</v>
      </c>
      <c r="X237" s="39"/>
      <c r="Y237" s="39" t="s">
        <v>2553</v>
      </c>
      <c r="Z237" s="41">
        <v>26511.0</v>
      </c>
      <c r="AA237" s="39" t="s">
        <v>163</v>
      </c>
      <c r="AB237" s="39" t="s">
        <v>180</v>
      </c>
      <c r="AC237" s="39" t="s">
        <v>181</v>
      </c>
      <c r="AD237" s="40">
        <v>358000.0</v>
      </c>
      <c r="AE237" s="40">
        <v>358000.0</v>
      </c>
      <c r="AF237" s="39" t="s">
        <v>144</v>
      </c>
      <c r="AG237" s="39" t="s">
        <v>145</v>
      </c>
      <c r="AH237" s="39" t="s">
        <v>146</v>
      </c>
      <c r="AI237" s="42" t="s">
        <v>2554</v>
      </c>
      <c r="AJ237" s="42" t="s">
        <v>2555</v>
      </c>
    </row>
    <row r="238" ht="15.75" customHeight="1">
      <c r="A238" s="40">
        <v>237.0</v>
      </c>
      <c r="B238" s="39" t="s">
        <v>2556</v>
      </c>
      <c r="C238" s="39" t="s">
        <v>2557</v>
      </c>
      <c r="D238" s="39" t="s">
        <v>2558</v>
      </c>
      <c r="E238" s="39" t="s">
        <v>2557</v>
      </c>
      <c r="F238" s="39" t="s">
        <v>203</v>
      </c>
      <c r="G238" s="39" t="s">
        <v>2559</v>
      </c>
      <c r="H238" s="39" t="s">
        <v>2560</v>
      </c>
      <c r="I238" s="39"/>
      <c r="J238" s="39" t="s">
        <v>2561</v>
      </c>
      <c r="K238" s="40">
        <v>273.0</v>
      </c>
      <c r="L238" s="39" t="s">
        <v>2562</v>
      </c>
      <c r="M238" s="39" t="s">
        <v>1300</v>
      </c>
      <c r="N238" s="39"/>
      <c r="O238" s="39" t="s">
        <v>1301</v>
      </c>
      <c r="P238" s="39" t="s">
        <v>1302</v>
      </c>
      <c r="Q238" s="40">
        <v>97477.0</v>
      </c>
      <c r="R238" s="39" t="s">
        <v>137</v>
      </c>
      <c r="S238" s="39" t="s">
        <v>19</v>
      </c>
      <c r="T238" s="39" t="s">
        <v>236</v>
      </c>
      <c r="U238" s="39" t="s">
        <v>67</v>
      </c>
      <c r="V238" s="39" t="s">
        <v>161</v>
      </c>
      <c r="W238" s="41">
        <v>45345.0</v>
      </c>
      <c r="X238" s="40">
        <v>236.0</v>
      </c>
      <c r="Y238" s="39" t="s">
        <v>2563</v>
      </c>
      <c r="Z238" s="41">
        <v>27594.0</v>
      </c>
      <c r="AA238" s="39" t="s">
        <v>141</v>
      </c>
      <c r="AB238" s="39" t="s">
        <v>180</v>
      </c>
      <c r="AC238" s="39" t="s">
        <v>279</v>
      </c>
      <c r="AD238" s="40">
        <v>244000.0</v>
      </c>
      <c r="AE238" s="40">
        <v>244000.0</v>
      </c>
      <c r="AF238" s="39" t="s">
        <v>144</v>
      </c>
      <c r="AG238" s="39" t="s">
        <v>145</v>
      </c>
      <c r="AH238" s="39" t="s">
        <v>146</v>
      </c>
      <c r="AI238" s="42" t="s">
        <v>2564</v>
      </c>
      <c r="AJ238" s="42" t="s">
        <v>2565</v>
      </c>
    </row>
    <row r="239" ht="15.75" customHeight="1">
      <c r="A239" s="40">
        <v>238.0</v>
      </c>
      <c r="B239" s="39" t="s">
        <v>2566</v>
      </c>
      <c r="C239" s="39" t="s">
        <v>2567</v>
      </c>
      <c r="D239" s="39" t="s">
        <v>2568</v>
      </c>
      <c r="E239" s="39" t="s">
        <v>2567</v>
      </c>
      <c r="F239" s="39" t="s">
        <v>427</v>
      </c>
      <c r="G239" s="39" t="s">
        <v>2569</v>
      </c>
      <c r="H239" s="39" t="s">
        <v>2570</v>
      </c>
      <c r="I239" s="39"/>
      <c r="J239" s="39" t="s">
        <v>2571</v>
      </c>
      <c r="K239" s="40">
        <v>8893.0</v>
      </c>
      <c r="L239" s="39" t="s">
        <v>2572</v>
      </c>
      <c r="M239" s="39" t="s">
        <v>208</v>
      </c>
      <c r="N239" s="39" t="s">
        <v>209</v>
      </c>
      <c r="O239" s="39" t="s">
        <v>135</v>
      </c>
      <c r="P239" s="39" t="s">
        <v>136</v>
      </c>
      <c r="Q239" s="40">
        <v>94105.0</v>
      </c>
      <c r="R239" s="39" t="s">
        <v>137</v>
      </c>
      <c r="S239" s="39" t="s">
        <v>19</v>
      </c>
      <c r="T239" s="39" t="s">
        <v>160</v>
      </c>
      <c r="U239" s="39" t="s">
        <v>79</v>
      </c>
      <c r="V239" s="39" t="s">
        <v>139</v>
      </c>
      <c r="W239" s="41">
        <v>45126.0</v>
      </c>
      <c r="X239" s="40">
        <v>236.0</v>
      </c>
      <c r="Y239" s="39" t="s">
        <v>2573</v>
      </c>
      <c r="Z239" s="41">
        <v>29987.0</v>
      </c>
      <c r="AA239" s="39" t="s">
        <v>141</v>
      </c>
      <c r="AB239" s="39" t="s">
        <v>180</v>
      </c>
      <c r="AC239" s="39" t="s">
        <v>197</v>
      </c>
      <c r="AD239" s="40">
        <v>236000.0</v>
      </c>
      <c r="AE239" s="40">
        <v>236000.0</v>
      </c>
      <c r="AF239" s="39" t="s">
        <v>144</v>
      </c>
      <c r="AG239" s="39" t="s">
        <v>145</v>
      </c>
      <c r="AH239" s="39" t="s">
        <v>264</v>
      </c>
      <c r="AI239" s="42" t="s">
        <v>2574</v>
      </c>
      <c r="AJ239" s="42" t="s">
        <v>2575</v>
      </c>
    </row>
    <row r="240" ht="15.75" customHeight="1">
      <c r="A240" s="40">
        <v>239.0</v>
      </c>
      <c r="B240" s="39" t="s">
        <v>2576</v>
      </c>
      <c r="C240" s="39" t="s">
        <v>2577</v>
      </c>
      <c r="D240" s="39" t="s">
        <v>1953</v>
      </c>
      <c r="E240" s="39" t="s">
        <v>2577</v>
      </c>
      <c r="F240" s="39" t="s">
        <v>203</v>
      </c>
      <c r="G240" s="39" t="s">
        <v>2578</v>
      </c>
      <c r="H240" s="39" t="s">
        <v>2579</v>
      </c>
      <c r="I240" s="39"/>
      <c r="J240" s="39" t="s">
        <v>2580</v>
      </c>
      <c r="K240" s="40">
        <v>6669.0</v>
      </c>
      <c r="L240" s="39" t="s">
        <v>2581</v>
      </c>
      <c r="M240" s="39" t="s">
        <v>379</v>
      </c>
      <c r="N240" s="39" t="s">
        <v>380</v>
      </c>
      <c r="O240" s="39" t="s">
        <v>193</v>
      </c>
      <c r="P240" s="39" t="s">
        <v>194</v>
      </c>
      <c r="Q240" s="40">
        <v>10036.0</v>
      </c>
      <c r="R240" s="39" t="s">
        <v>137</v>
      </c>
      <c r="S240" s="39" t="s">
        <v>16</v>
      </c>
      <c r="T240" s="39" t="s">
        <v>16</v>
      </c>
      <c r="U240" s="39" t="s">
        <v>82</v>
      </c>
      <c r="V240" s="39" t="s">
        <v>195</v>
      </c>
      <c r="W240" s="41">
        <v>45902.0</v>
      </c>
      <c r="X240" s="40">
        <v>236.0</v>
      </c>
      <c r="Y240" s="39" t="s">
        <v>2582</v>
      </c>
      <c r="Z240" s="41">
        <v>26454.0</v>
      </c>
      <c r="AA240" s="39" t="s">
        <v>163</v>
      </c>
      <c r="AB240" s="39" t="s">
        <v>180</v>
      </c>
      <c r="AC240" s="39" t="s">
        <v>292</v>
      </c>
      <c r="AD240" s="40">
        <v>249000.0</v>
      </c>
      <c r="AE240" s="40">
        <v>249000.0</v>
      </c>
      <c r="AF240" s="39" t="s">
        <v>144</v>
      </c>
      <c r="AG240" s="39" t="s">
        <v>145</v>
      </c>
      <c r="AH240" s="39" t="s">
        <v>146</v>
      </c>
      <c r="AI240" s="42" t="s">
        <v>2583</v>
      </c>
      <c r="AJ240" s="42" t="s">
        <v>2584</v>
      </c>
    </row>
    <row r="241" ht="15.75" customHeight="1">
      <c r="A241" s="40">
        <v>240.0</v>
      </c>
      <c r="B241" s="39" t="s">
        <v>2585</v>
      </c>
      <c r="C241" s="39" t="s">
        <v>1145</v>
      </c>
      <c r="D241" s="39" t="s">
        <v>2586</v>
      </c>
      <c r="E241" s="39" t="s">
        <v>1145</v>
      </c>
      <c r="F241" s="39" t="s">
        <v>270</v>
      </c>
      <c r="G241" s="39" t="s">
        <v>2587</v>
      </c>
      <c r="H241" s="39" t="s">
        <v>2588</v>
      </c>
      <c r="I241" s="39"/>
      <c r="J241" s="39" t="s">
        <v>2589</v>
      </c>
      <c r="K241" s="40">
        <v>356.0</v>
      </c>
      <c r="L241" s="39" t="s">
        <v>2590</v>
      </c>
      <c r="M241" s="39" t="s">
        <v>815</v>
      </c>
      <c r="N241" s="39" t="s">
        <v>816</v>
      </c>
      <c r="O241" s="39" t="s">
        <v>817</v>
      </c>
      <c r="P241" s="39" t="s">
        <v>818</v>
      </c>
      <c r="Q241" s="40">
        <v>60606.0</v>
      </c>
      <c r="R241" s="39" t="s">
        <v>137</v>
      </c>
      <c r="S241" s="39" t="s">
        <v>17</v>
      </c>
      <c r="T241" s="39" t="s">
        <v>17</v>
      </c>
      <c r="U241" s="39" t="s">
        <v>53</v>
      </c>
      <c r="V241" s="39" t="s">
        <v>161</v>
      </c>
      <c r="W241" s="41">
        <v>44857.0</v>
      </c>
      <c r="X241" s="40">
        <v>236.0</v>
      </c>
      <c r="Y241" s="39" t="s">
        <v>2591</v>
      </c>
      <c r="Z241" s="41">
        <v>23928.0</v>
      </c>
      <c r="AA241" s="39" t="s">
        <v>141</v>
      </c>
      <c r="AB241" s="39" t="s">
        <v>180</v>
      </c>
      <c r="AC241" s="39" t="s">
        <v>181</v>
      </c>
      <c r="AD241" s="40">
        <v>271000.0</v>
      </c>
      <c r="AE241" s="40">
        <v>271000.0</v>
      </c>
      <c r="AF241" s="39" t="s">
        <v>144</v>
      </c>
      <c r="AG241" s="39" t="s">
        <v>145</v>
      </c>
      <c r="AH241" s="39" t="s">
        <v>146</v>
      </c>
      <c r="AI241" s="42" t="s">
        <v>2592</v>
      </c>
      <c r="AJ241" s="42" t="s">
        <v>2593</v>
      </c>
    </row>
    <row r="242" ht="15.75" customHeight="1">
      <c r="A242" s="40">
        <v>241.0</v>
      </c>
      <c r="B242" s="39" t="s">
        <v>2594</v>
      </c>
      <c r="C242" s="39" t="s">
        <v>2595</v>
      </c>
      <c r="D242" s="39" t="s">
        <v>2596</v>
      </c>
      <c r="E242" s="39" t="s">
        <v>2595</v>
      </c>
      <c r="F242" s="39" t="s">
        <v>203</v>
      </c>
      <c r="G242" s="39" t="s">
        <v>2597</v>
      </c>
      <c r="H242" s="39" t="s">
        <v>2598</v>
      </c>
      <c r="I242" s="39"/>
      <c r="J242" s="39" t="s">
        <v>2599</v>
      </c>
      <c r="K242" s="40">
        <v>3230.0</v>
      </c>
      <c r="L242" s="39" t="s">
        <v>2600</v>
      </c>
      <c r="M242" s="39" t="s">
        <v>346</v>
      </c>
      <c r="N242" s="39"/>
      <c r="O242" s="39" t="s">
        <v>174</v>
      </c>
      <c r="P242" s="39" t="s">
        <v>175</v>
      </c>
      <c r="Q242" s="39" t="s">
        <v>347</v>
      </c>
      <c r="R242" s="39" t="s">
        <v>177</v>
      </c>
      <c r="S242" s="39" t="s">
        <v>19</v>
      </c>
      <c r="T242" s="39" t="s">
        <v>236</v>
      </c>
      <c r="U242" s="39" t="s">
        <v>77</v>
      </c>
      <c r="V242" s="39" t="s">
        <v>178</v>
      </c>
      <c r="W242" s="41">
        <v>45000.0</v>
      </c>
      <c r="X242" s="40">
        <v>52.0</v>
      </c>
      <c r="Y242" s="39" t="s">
        <v>2601</v>
      </c>
      <c r="Z242" s="41">
        <v>36275.0</v>
      </c>
      <c r="AA242" s="39" t="s">
        <v>163</v>
      </c>
      <c r="AB242" s="39" t="s">
        <v>180</v>
      </c>
      <c r="AC242" s="39" t="s">
        <v>181</v>
      </c>
      <c r="AD242" s="40">
        <v>134000.0</v>
      </c>
      <c r="AE242" s="40">
        <v>134000.0</v>
      </c>
      <c r="AF242" s="39" t="s">
        <v>144</v>
      </c>
      <c r="AG242" s="39" t="s">
        <v>145</v>
      </c>
      <c r="AH242" s="39" t="s">
        <v>264</v>
      </c>
      <c r="AI242" s="42" t="s">
        <v>2602</v>
      </c>
      <c r="AJ242" s="42" t="s">
        <v>2603</v>
      </c>
    </row>
    <row r="243" ht="15.75" customHeight="1">
      <c r="A243" s="40">
        <v>242.0</v>
      </c>
      <c r="B243" s="39" t="s">
        <v>2604</v>
      </c>
      <c r="C243" s="39" t="s">
        <v>2605</v>
      </c>
      <c r="D243" s="39" t="s">
        <v>2606</v>
      </c>
      <c r="E243" s="39" t="s">
        <v>2605</v>
      </c>
      <c r="F243" s="39" t="s">
        <v>270</v>
      </c>
      <c r="G243" s="39" t="s">
        <v>2607</v>
      </c>
      <c r="H243" s="39" t="s">
        <v>2608</v>
      </c>
      <c r="I243" s="39"/>
      <c r="J243" s="39" t="s">
        <v>2609</v>
      </c>
      <c r="K243" s="40">
        <v>524.0</v>
      </c>
      <c r="L243" s="39" t="s">
        <v>2610</v>
      </c>
      <c r="M243" s="39" t="s">
        <v>289</v>
      </c>
      <c r="N243" s="39"/>
      <c r="O243" s="39" t="s">
        <v>174</v>
      </c>
      <c r="P243" s="39" t="s">
        <v>175</v>
      </c>
      <c r="Q243" s="39" t="s">
        <v>290</v>
      </c>
      <c r="R243" s="39" t="s">
        <v>177</v>
      </c>
      <c r="S243" s="39" t="s">
        <v>17</v>
      </c>
      <c r="T243" s="39" t="s">
        <v>17</v>
      </c>
      <c r="U243" s="39" t="s">
        <v>48</v>
      </c>
      <c r="V243" s="39" t="s">
        <v>178</v>
      </c>
      <c r="W243" s="41">
        <v>45520.0</v>
      </c>
      <c r="X243" s="40">
        <v>240.0</v>
      </c>
      <c r="Y243" s="39" t="s">
        <v>2611</v>
      </c>
      <c r="Z243" s="41">
        <v>30846.0</v>
      </c>
      <c r="AA243" s="39" t="s">
        <v>263</v>
      </c>
      <c r="AB243" s="39" t="s">
        <v>180</v>
      </c>
      <c r="AC243" s="39" t="s">
        <v>197</v>
      </c>
      <c r="AD243" s="40">
        <v>208000.0</v>
      </c>
      <c r="AE243" s="40">
        <v>208000.0</v>
      </c>
      <c r="AF243" s="39" t="s">
        <v>144</v>
      </c>
      <c r="AG243" s="39" t="s">
        <v>145</v>
      </c>
      <c r="AH243" s="39" t="s">
        <v>293</v>
      </c>
      <c r="AI243" s="42" t="s">
        <v>2612</v>
      </c>
      <c r="AJ243" s="42" t="s">
        <v>2613</v>
      </c>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I2"/>
    <hyperlink r:id="rId2" ref="AJ2"/>
    <hyperlink r:id="rId3" ref="AI3"/>
    <hyperlink r:id="rId4" ref="AJ3"/>
    <hyperlink r:id="rId5" ref="AI4"/>
    <hyperlink r:id="rId6" ref="AJ4"/>
    <hyperlink r:id="rId7" ref="AI5"/>
    <hyperlink r:id="rId8" ref="AJ5"/>
    <hyperlink r:id="rId9" ref="AI6"/>
    <hyperlink r:id="rId10" ref="AJ6"/>
    <hyperlink r:id="rId11" ref="AI7"/>
    <hyperlink r:id="rId12" ref="AJ7"/>
    <hyperlink r:id="rId13" ref="AI8"/>
    <hyperlink r:id="rId14" ref="AJ8"/>
    <hyperlink r:id="rId15" ref="AI9"/>
    <hyperlink r:id="rId16" ref="AJ9"/>
    <hyperlink r:id="rId17" ref="AI10"/>
    <hyperlink r:id="rId18" ref="AJ10"/>
    <hyperlink r:id="rId19" ref="AI11"/>
    <hyperlink r:id="rId20" ref="AJ11"/>
    <hyperlink r:id="rId21" ref="AI12"/>
    <hyperlink r:id="rId22" ref="AJ12"/>
    <hyperlink r:id="rId23" ref="AI13"/>
    <hyperlink r:id="rId24" ref="AJ13"/>
    <hyperlink r:id="rId25" ref="AI14"/>
    <hyperlink r:id="rId26" ref="AJ14"/>
    <hyperlink r:id="rId27" ref="AI15"/>
    <hyperlink r:id="rId28" ref="AJ15"/>
    <hyperlink r:id="rId29" ref="AI16"/>
    <hyperlink r:id="rId30" ref="AJ16"/>
    <hyperlink r:id="rId31" ref="AI17"/>
    <hyperlink r:id="rId32" ref="AJ17"/>
    <hyperlink r:id="rId33" ref="AI18"/>
    <hyperlink r:id="rId34" ref="AJ18"/>
    <hyperlink r:id="rId35" ref="AI19"/>
    <hyperlink r:id="rId36" ref="AJ19"/>
    <hyperlink r:id="rId37" ref="AI20"/>
    <hyperlink r:id="rId38" ref="AJ20"/>
    <hyperlink r:id="rId39" ref="AI21"/>
    <hyperlink r:id="rId40" ref="AJ21"/>
    <hyperlink r:id="rId41" ref="AI22"/>
    <hyperlink r:id="rId42" ref="AJ22"/>
    <hyperlink r:id="rId43" ref="AI23"/>
    <hyperlink r:id="rId44" ref="AJ23"/>
    <hyperlink r:id="rId45" ref="AI24"/>
    <hyperlink r:id="rId46" ref="AJ24"/>
    <hyperlink r:id="rId47" ref="AI25"/>
    <hyperlink r:id="rId48" ref="AJ25"/>
    <hyperlink r:id="rId49" ref="AI26"/>
    <hyperlink r:id="rId50" ref="AJ26"/>
    <hyperlink r:id="rId51" ref="AI27"/>
    <hyperlink r:id="rId52" ref="AJ27"/>
    <hyperlink r:id="rId53" ref="AI28"/>
    <hyperlink r:id="rId54" ref="AJ28"/>
    <hyperlink r:id="rId55" ref="AI29"/>
    <hyperlink r:id="rId56" ref="AJ29"/>
    <hyperlink r:id="rId57" ref="AI30"/>
    <hyperlink r:id="rId58" ref="AJ30"/>
    <hyperlink r:id="rId59" ref="AI31"/>
    <hyperlink r:id="rId60" ref="AJ31"/>
    <hyperlink r:id="rId61" ref="AI32"/>
    <hyperlink r:id="rId62" ref="AJ32"/>
    <hyperlink r:id="rId63" ref="AI33"/>
    <hyperlink r:id="rId64" ref="AJ33"/>
    <hyperlink r:id="rId65" ref="AI34"/>
    <hyperlink r:id="rId66" ref="AJ34"/>
    <hyperlink r:id="rId67" ref="AI35"/>
    <hyperlink r:id="rId68" ref="AJ35"/>
    <hyperlink r:id="rId69" ref="AI36"/>
    <hyperlink r:id="rId70" ref="AJ36"/>
    <hyperlink r:id="rId71" ref="AI37"/>
    <hyperlink r:id="rId72" ref="AJ37"/>
    <hyperlink r:id="rId73" ref="AI38"/>
    <hyperlink r:id="rId74" ref="AJ38"/>
    <hyperlink r:id="rId75" ref="AI39"/>
    <hyperlink r:id="rId76" ref="AJ39"/>
    <hyperlink r:id="rId77" ref="AI40"/>
    <hyperlink r:id="rId78" ref="AJ40"/>
    <hyperlink r:id="rId79" ref="AI41"/>
    <hyperlink r:id="rId80" ref="AJ41"/>
    <hyperlink r:id="rId81" ref="AI42"/>
    <hyperlink r:id="rId82" ref="AJ42"/>
    <hyperlink r:id="rId83" ref="AI43"/>
    <hyperlink r:id="rId84" ref="AJ43"/>
    <hyperlink r:id="rId85" ref="AI44"/>
    <hyperlink r:id="rId86" ref="AJ44"/>
    <hyperlink r:id="rId87" ref="AI45"/>
    <hyperlink r:id="rId88" ref="AJ45"/>
    <hyperlink r:id="rId89" ref="AI46"/>
    <hyperlink r:id="rId90" ref="AJ46"/>
    <hyperlink r:id="rId91" ref="AI47"/>
    <hyperlink r:id="rId92" ref="AJ47"/>
    <hyperlink r:id="rId93" ref="AI48"/>
    <hyperlink r:id="rId94" ref="AJ48"/>
    <hyperlink r:id="rId95" ref="AI49"/>
    <hyperlink r:id="rId96" ref="AJ49"/>
    <hyperlink r:id="rId97" ref="AI50"/>
    <hyperlink r:id="rId98" ref="AJ50"/>
    <hyperlink r:id="rId99" ref="AI51"/>
    <hyperlink r:id="rId100" ref="AJ51"/>
    <hyperlink r:id="rId101" ref="AI52"/>
    <hyperlink r:id="rId102" ref="AJ52"/>
    <hyperlink r:id="rId103" ref="AI53"/>
    <hyperlink r:id="rId104" ref="AJ53"/>
    <hyperlink r:id="rId105" ref="AI54"/>
    <hyperlink r:id="rId106" ref="AJ54"/>
    <hyperlink r:id="rId107" ref="AI55"/>
    <hyperlink r:id="rId108" ref="AJ55"/>
    <hyperlink r:id="rId109" ref="AI56"/>
    <hyperlink r:id="rId110" ref="AJ56"/>
    <hyperlink r:id="rId111" ref="AI57"/>
    <hyperlink r:id="rId112" ref="AJ57"/>
    <hyperlink r:id="rId113" ref="AI58"/>
    <hyperlink r:id="rId114" ref="AJ58"/>
    <hyperlink r:id="rId115" ref="AI59"/>
    <hyperlink r:id="rId116" ref="AJ59"/>
    <hyperlink r:id="rId117" ref="AI60"/>
    <hyperlink r:id="rId118" ref="AJ60"/>
    <hyperlink r:id="rId119" ref="AI61"/>
    <hyperlink r:id="rId120" ref="AJ61"/>
    <hyperlink r:id="rId121" ref="AI62"/>
    <hyperlink r:id="rId122" ref="AJ62"/>
    <hyperlink r:id="rId123" ref="AI63"/>
    <hyperlink r:id="rId124" ref="AJ63"/>
    <hyperlink r:id="rId125" ref="AI64"/>
    <hyperlink r:id="rId126" ref="AJ64"/>
    <hyperlink r:id="rId127" ref="AI65"/>
    <hyperlink r:id="rId128" ref="AJ65"/>
    <hyperlink r:id="rId129" ref="AI66"/>
    <hyperlink r:id="rId130" ref="AJ66"/>
    <hyperlink r:id="rId131" ref="AI67"/>
    <hyperlink r:id="rId132" ref="AJ67"/>
    <hyperlink r:id="rId133" ref="AI68"/>
    <hyperlink r:id="rId134" ref="AJ68"/>
    <hyperlink r:id="rId135" ref="AI69"/>
    <hyperlink r:id="rId136" ref="AJ69"/>
    <hyperlink r:id="rId137" ref="AI70"/>
    <hyperlink r:id="rId138" ref="AJ70"/>
    <hyperlink r:id="rId139" ref="AI71"/>
    <hyperlink r:id="rId140" ref="AJ71"/>
    <hyperlink r:id="rId141" ref="AI72"/>
    <hyperlink r:id="rId142" ref="AJ72"/>
    <hyperlink r:id="rId143" ref="AI73"/>
    <hyperlink r:id="rId144" ref="AJ73"/>
    <hyperlink r:id="rId145" ref="AI74"/>
    <hyperlink r:id="rId146" ref="AJ74"/>
    <hyperlink r:id="rId147" ref="AI75"/>
    <hyperlink r:id="rId148" ref="AJ75"/>
    <hyperlink r:id="rId149" ref="AI76"/>
    <hyperlink r:id="rId150" ref="AJ76"/>
    <hyperlink r:id="rId151" ref="AI77"/>
    <hyperlink r:id="rId152" ref="AJ77"/>
    <hyperlink r:id="rId153" ref="AI78"/>
    <hyperlink r:id="rId154" ref="AJ78"/>
    <hyperlink r:id="rId155" ref="AI79"/>
    <hyperlink r:id="rId156" ref="AJ79"/>
    <hyperlink r:id="rId157" ref="AI80"/>
    <hyperlink r:id="rId158" ref="AJ80"/>
    <hyperlink r:id="rId159" ref="AI81"/>
    <hyperlink r:id="rId160" ref="AJ81"/>
    <hyperlink r:id="rId161" ref="AI82"/>
    <hyperlink r:id="rId162" ref="AJ82"/>
    <hyperlink r:id="rId163" ref="AI83"/>
    <hyperlink r:id="rId164" ref="AJ83"/>
    <hyperlink r:id="rId165" ref="AI84"/>
    <hyperlink r:id="rId166" ref="AJ84"/>
    <hyperlink r:id="rId167" ref="AI85"/>
    <hyperlink r:id="rId168" ref="AJ85"/>
    <hyperlink r:id="rId169" ref="AI86"/>
    <hyperlink r:id="rId170" ref="AJ86"/>
    <hyperlink r:id="rId171" ref="AI87"/>
    <hyperlink r:id="rId172" ref="AJ87"/>
    <hyperlink r:id="rId173" ref="AI88"/>
    <hyperlink r:id="rId174" ref="AJ88"/>
    <hyperlink r:id="rId175" ref="AI89"/>
    <hyperlink r:id="rId176" ref="AJ89"/>
    <hyperlink r:id="rId177" ref="AI90"/>
    <hyperlink r:id="rId178" ref="AJ90"/>
    <hyperlink r:id="rId179" ref="AI91"/>
    <hyperlink r:id="rId180" ref="AJ91"/>
    <hyperlink r:id="rId181" ref="AI92"/>
    <hyperlink r:id="rId182" ref="AJ92"/>
    <hyperlink r:id="rId183" ref="AI93"/>
    <hyperlink r:id="rId184" ref="AJ93"/>
    <hyperlink r:id="rId185" ref="AI94"/>
    <hyperlink r:id="rId186" ref="AJ94"/>
    <hyperlink r:id="rId187" ref="AI95"/>
    <hyperlink r:id="rId188" ref="AJ95"/>
    <hyperlink r:id="rId189" ref="AI96"/>
    <hyperlink r:id="rId190" ref="AJ96"/>
    <hyperlink r:id="rId191" ref="AI97"/>
    <hyperlink r:id="rId192" ref="AJ97"/>
    <hyperlink r:id="rId193" ref="AI98"/>
    <hyperlink r:id="rId194" ref="AJ98"/>
    <hyperlink r:id="rId195" ref="AI99"/>
    <hyperlink r:id="rId196" ref="AJ99"/>
    <hyperlink r:id="rId197" ref="AI100"/>
    <hyperlink r:id="rId198" ref="AJ100"/>
    <hyperlink r:id="rId199" ref="AI101"/>
    <hyperlink r:id="rId200" ref="AJ101"/>
    <hyperlink r:id="rId201" ref="AI102"/>
    <hyperlink r:id="rId202" ref="AJ102"/>
    <hyperlink r:id="rId203" ref="AI103"/>
    <hyperlink r:id="rId204" ref="AJ103"/>
    <hyperlink r:id="rId205" ref="AI104"/>
    <hyperlink r:id="rId206" ref="AJ104"/>
    <hyperlink r:id="rId207" ref="AI105"/>
    <hyperlink r:id="rId208" ref="AJ105"/>
    <hyperlink r:id="rId209" ref="AI106"/>
    <hyperlink r:id="rId210" ref="AJ106"/>
    <hyperlink r:id="rId211" ref="AI107"/>
    <hyperlink r:id="rId212" ref="AJ107"/>
    <hyperlink r:id="rId213" ref="AI108"/>
    <hyperlink r:id="rId214" ref="AJ108"/>
    <hyperlink r:id="rId215" ref="AI109"/>
    <hyperlink r:id="rId216" ref="AJ109"/>
    <hyperlink r:id="rId217" ref="AI110"/>
    <hyperlink r:id="rId218" ref="AJ110"/>
    <hyperlink r:id="rId219" ref="AI111"/>
    <hyperlink r:id="rId220" ref="AJ111"/>
    <hyperlink r:id="rId221" ref="AI112"/>
    <hyperlink r:id="rId222" ref="AJ112"/>
    <hyperlink r:id="rId223" ref="AI113"/>
    <hyperlink r:id="rId224" ref="AJ113"/>
    <hyperlink r:id="rId225" ref="AI114"/>
    <hyperlink r:id="rId226" ref="AJ114"/>
    <hyperlink r:id="rId227" ref="AI115"/>
    <hyperlink r:id="rId228" ref="AJ115"/>
    <hyperlink r:id="rId229" ref="AI116"/>
    <hyperlink r:id="rId230" ref="AJ116"/>
    <hyperlink r:id="rId231" ref="AI117"/>
    <hyperlink r:id="rId232" ref="AJ117"/>
    <hyperlink r:id="rId233" ref="AI118"/>
    <hyperlink r:id="rId234" ref="AJ118"/>
    <hyperlink r:id="rId235" ref="AI119"/>
    <hyperlink r:id="rId236" ref="AJ119"/>
    <hyperlink r:id="rId237" ref="AI120"/>
    <hyperlink r:id="rId238" ref="AJ120"/>
    <hyperlink r:id="rId239" ref="AI121"/>
    <hyperlink r:id="rId240" ref="AJ121"/>
    <hyperlink r:id="rId241" ref="AI122"/>
    <hyperlink r:id="rId242" ref="AJ122"/>
    <hyperlink r:id="rId243" ref="AI123"/>
    <hyperlink r:id="rId244" ref="AJ123"/>
    <hyperlink r:id="rId245" ref="AI124"/>
    <hyperlink r:id="rId246" ref="AJ124"/>
    <hyperlink r:id="rId247" ref="AI125"/>
    <hyperlink r:id="rId248" ref="AJ125"/>
    <hyperlink r:id="rId249" ref="AI126"/>
    <hyperlink r:id="rId250" ref="AJ126"/>
    <hyperlink r:id="rId251" ref="AI127"/>
    <hyperlink r:id="rId252" ref="AJ127"/>
    <hyperlink r:id="rId253" ref="AI128"/>
    <hyperlink r:id="rId254" ref="AJ128"/>
    <hyperlink r:id="rId255" ref="AI129"/>
    <hyperlink r:id="rId256" ref="AJ129"/>
    <hyperlink r:id="rId257" ref="AI130"/>
    <hyperlink r:id="rId258" ref="AJ130"/>
    <hyperlink r:id="rId259" ref="AI131"/>
    <hyperlink r:id="rId260" ref="AJ131"/>
    <hyperlink r:id="rId261" ref="AI132"/>
    <hyperlink r:id="rId262" ref="AJ132"/>
    <hyperlink r:id="rId263" ref="AI133"/>
    <hyperlink r:id="rId264" ref="AJ133"/>
    <hyperlink r:id="rId265" ref="AI134"/>
    <hyperlink r:id="rId266" ref="AJ134"/>
    <hyperlink r:id="rId267" ref="AI135"/>
    <hyperlink r:id="rId268" ref="AJ135"/>
    <hyperlink r:id="rId269" ref="AI136"/>
    <hyperlink r:id="rId270" ref="AJ136"/>
    <hyperlink r:id="rId271" ref="AI137"/>
    <hyperlink r:id="rId272" ref="AJ137"/>
    <hyperlink r:id="rId273" ref="AI138"/>
    <hyperlink r:id="rId274" ref="AJ138"/>
    <hyperlink r:id="rId275" ref="AI139"/>
    <hyperlink r:id="rId276" ref="AJ139"/>
    <hyperlink r:id="rId277" ref="AI140"/>
    <hyperlink r:id="rId278" ref="AJ140"/>
    <hyperlink r:id="rId279" ref="AI141"/>
    <hyperlink r:id="rId280" ref="AJ141"/>
    <hyperlink r:id="rId281" ref="AI142"/>
    <hyperlink r:id="rId282" ref="AJ142"/>
    <hyperlink r:id="rId283" ref="AI143"/>
    <hyperlink r:id="rId284" ref="AJ143"/>
    <hyperlink r:id="rId285" ref="AI144"/>
    <hyperlink r:id="rId286" ref="AJ144"/>
    <hyperlink r:id="rId287" ref="AI145"/>
    <hyperlink r:id="rId288" ref="AJ145"/>
    <hyperlink r:id="rId289" ref="AI146"/>
    <hyperlink r:id="rId290" ref="AJ146"/>
    <hyperlink r:id="rId291" ref="AI147"/>
    <hyperlink r:id="rId292" ref="AJ147"/>
    <hyperlink r:id="rId293" ref="AI148"/>
    <hyperlink r:id="rId294" ref="AJ148"/>
    <hyperlink r:id="rId295" ref="AI149"/>
    <hyperlink r:id="rId296" ref="AJ149"/>
    <hyperlink r:id="rId297" ref="AI150"/>
    <hyperlink r:id="rId298" ref="AJ150"/>
    <hyperlink r:id="rId299" ref="AI151"/>
    <hyperlink r:id="rId300" ref="AJ151"/>
    <hyperlink r:id="rId301" ref="AI152"/>
    <hyperlink r:id="rId302" ref="AJ152"/>
    <hyperlink r:id="rId303" ref="AI153"/>
    <hyperlink r:id="rId304" ref="AJ153"/>
    <hyperlink r:id="rId305" ref="AI154"/>
    <hyperlink r:id="rId306" ref="AJ154"/>
    <hyperlink r:id="rId307" ref="AI155"/>
    <hyperlink r:id="rId308" ref="AJ155"/>
    <hyperlink r:id="rId309" ref="AI156"/>
    <hyperlink r:id="rId310" ref="AJ156"/>
    <hyperlink r:id="rId311" ref="AI157"/>
    <hyperlink r:id="rId312" ref="AJ157"/>
    <hyperlink r:id="rId313" ref="AI158"/>
    <hyperlink r:id="rId314" ref="AJ158"/>
    <hyperlink r:id="rId315" ref="AI159"/>
    <hyperlink r:id="rId316" ref="AJ159"/>
    <hyperlink r:id="rId317" ref="AI160"/>
    <hyperlink r:id="rId318" ref="AJ160"/>
    <hyperlink r:id="rId319" ref="AI161"/>
    <hyperlink r:id="rId320" ref="AJ161"/>
    <hyperlink r:id="rId321" ref="AI162"/>
    <hyperlink r:id="rId322" ref="AJ162"/>
    <hyperlink r:id="rId323" ref="AI163"/>
    <hyperlink r:id="rId324" ref="AJ163"/>
    <hyperlink r:id="rId325" ref="AI164"/>
    <hyperlink r:id="rId326" ref="AJ164"/>
    <hyperlink r:id="rId327" ref="AI165"/>
    <hyperlink r:id="rId328" ref="AJ165"/>
    <hyperlink r:id="rId329" ref="AI166"/>
    <hyperlink r:id="rId330" ref="AJ166"/>
    <hyperlink r:id="rId331" ref="AI167"/>
    <hyperlink r:id="rId332" ref="AJ167"/>
    <hyperlink r:id="rId333" ref="AI168"/>
    <hyperlink r:id="rId334" ref="AJ168"/>
    <hyperlink r:id="rId335" ref="AI169"/>
    <hyperlink r:id="rId336" ref="AJ169"/>
    <hyperlink r:id="rId337" ref="AI170"/>
    <hyperlink r:id="rId338" ref="AJ170"/>
    <hyperlink r:id="rId339" ref="AI171"/>
    <hyperlink r:id="rId340" ref="AJ171"/>
    <hyperlink r:id="rId341" ref="AI172"/>
    <hyperlink r:id="rId342" ref="AJ172"/>
    <hyperlink r:id="rId343" ref="AI173"/>
    <hyperlink r:id="rId344" ref="AJ173"/>
    <hyperlink r:id="rId345" ref="AI174"/>
    <hyperlink r:id="rId346" ref="AJ174"/>
    <hyperlink r:id="rId347" ref="AI175"/>
    <hyperlink r:id="rId348" ref="AJ175"/>
    <hyperlink r:id="rId349" ref="AI176"/>
    <hyperlink r:id="rId350" ref="AJ176"/>
    <hyperlink r:id="rId351" ref="AI177"/>
    <hyperlink r:id="rId352" ref="AJ177"/>
    <hyperlink r:id="rId353" ref="AI178"/>
    <hyperlink r:id="rId354" ref="AJ178"/>
    <hyperlink r:id="rId355" ref="AI179"/>
    <hyperlink r:id="rId356" ref="AJ179"/>
    <hyperlink r:id="rId357" ref="AI180"/>
    <hyperlink r:id="rId358" ref="AJ180"/>
    <hyperlink r:id="rId359" ref="AI181"/>
    <hyperlink r:id="rId360" ref="AJ181"/>
    <hyperlink r:id="rId361" ref="AI182"/>
    <hyperlink r:id="rId362" ref="AJ182"/>
    <hyperlink r:id="rId363" ref="AI183"/>
    <hyperlink r:id="rId364" ref="AJ183"/>
    <hyperlink r:id="rId365" ref="AI184"/>
    <hyperlink r:id="rId366" ref="AJ184"/>
    <hyperlink r:id="rId367" ref="AI185"/>
    <hyperlink r:id="rId368" ref="AJ185"/>
    <hyperlink r:id="rId369" ref="AI186"/>
    <hyperlink r:id="rId370" ref="AJ186"/>
    <hyperlink r:id="rId371" ref="AI187"/>
    <hyperlink r:id="rId372" ref="AJ187"/>
    <hyperlink r:id="rId373" ref="AI188"/>
    <hyperlink r:id="rId374" ref="AJ188"/>
    <hyperlink r:id="rId375" ref="AI189"/>
    <hyperlink r:id="rId376" ref="AJ189"/>
    <hyperlink r:id="rId377" ref="AI190"/>
    <hyperlink r:id="rId378" ref="AJ190"/>
    <hyperlink r:id="rId379" ref="AI191"/>
    <hyperlink r:id="rId380" ref="AJ191"/>
    <hyperlink r:id="rId381" ref="AI192"/>
    <hyperlink r:id="rId382" ref="AJ192"/>
    <hyperlink r:id="rId383" ref="AI193"/>
    <hyperlink r:id="rId384" ref="AJ193"/>
    <hyperlink r:id="rId385" ref="AI194"/>
    <hyperlink r:id="rId386" ref="AJ194"/>
    <hyperlink r:id="rId387" ref="AI195"/>
    <hyperlink r:id="rId388" ref="AJ195"/>
    <hyperlink r:id="rId389" ref="AI196"/>
    <hyperlink r:id="rId390" ref="AJ196"/>
    <hyperlink r:id="rId391" ref="AI197"/>
    <hyperlink r:id="rId392" ref="AJ197"/>
    <hyperlink r:id="rId393" ref="AI198"/>
    <hyperlink r:id="rId394" ref="AJ198"/>
    <hyperlink r:id="rId395" ref="AI199"/>
    <hyperlink r:id="rId396" ref="AJ199"/>
    <hyperlink r:id="rId397" ref="AI200"/>
    <hyperlink r:id="rId398" ref="AJ200"/>
    <hyperlink r:id="rId399" ref="AI201"/>
    <hyperlink r:id="rId400" ref="AJ201"/>
    <hyperlink r:id="rId401" ref="AI202"/>
    <hyperlink r:id="rId402" ref="AJ202"/>
    <hyperlink r:id="rId403" ref="AI203"/>
    <hyperlink r:id="rId404" ref="AJ203"/>
    <hyperlink r:id="rId405" ref="AI204"/>
    <hyperlink r:id="rId406" ref="AJ204"/>
    <hyperlink r:id="rId407" ref="AI205"/>
    <hyperlink r:id="rId408" ref="AJ205"/>
    <hyperlink r:id="rId409" ref="AI206"/>
    <hyperlink r:id="rId410" ref="AJ206"/>
    <hyperlink r:id="rId411" ref="AI207"/>
    <hyperlink r:id="rId412" ref="AJ207"/>
    <hyperlink r:id="rId413" ref="AI208"/>
    <hyperlink r:id="rId414" ref="AJ208"/>
    <hyperlink r:id="rId415" ref="AI209"/>
    <hyperlink r:id="rId416" ref="AJ209"/>
    <hyperlink r:id="rId417" ref="AI210"/>
    <hyperlink r:id="rId418" ref="AJ210"/>
    <hyperlink r:id="rId419" ref="AI211"/>
    <hyperlink r:id="rId420" ref="AJ211"/>
    <hyperlink r:id="rId421" ref="AI212"/>
    <hyperlink r:id="rId422" ref="AJ212"/>
    <hyperlink r:id="rId423" ref="AI213"/>
    <hyperlink r:id="rId424" ref="AJ213"/>
    <hyperlink r:id="rId425" ref="AI214"/>
    <hyperlink r:id="rId426" ref="AJ214"/>
    <hyperlink r:id="rId427" ref="AI215"/>
    <hyperlink r:id="rId428" ref="AJ215"/>
    <hyperlink r:id="rId429" ref="AI216"/>
    <hyperlink r:id="rId430" ref="AJ216"/>
    <hyperlink r:id="rId431" ref="AI217"/>
    <hyperlink r:id="rId432" ref="AJ217"/>
    <hyperlink r:id="rId433" ref="AI218"/>
    <hyperlink r:id="rId434" ref="AJ218"/>
    <hyperlink r:id="rId435" ref="AI219"/>
    <hyperlink r:id="rId436" ref="AJ219"/>
    <hyperlink r:id="rId437" ref="AI220"/>
    <hyperlink r:id="rId438" ref="AJ220"/>
    <hyperlink r:id="rId439" ref="AI221"/>
    <hyperlink r:id="rId440" ref="AJ221"/>
    <hyperlink r:id="rId441" ref="AI222"/>
    <hyperlink r:id="rId442" ref="AJ222"/>
    <hyperlink r:id="rId443" ref="AI223"/>
    <hyperlink r:id="rId444" ref="AJ223"/>
    <hyperlink r:id="rId445" ref="AI224"/>
    <hyperlink r:id="rId446" ref="AJ224"/>
    <hyperlink r:id="rId447" ref="AI225"/>
    <hyperlink r:id="rId448" ref="AJ225"/>
    <hyperlink r:id="rId449" ref="AI226"/>
    <hyperlink r:id="rId450" ref="AJ226"/>
    <hyperlink r:id="rId451" ref="AI227"/>
    <hyperlink r:id="rId452" ref="AJ227"/>
    <hyperlink r:id="rId453" ref="AI228"/>
    <hyperlink r:id="rId454" ref="AJ228"/>
    <hyperlink r:id="rId455" ref="AI229"/>
    <hyperlink r:id="rId456" ref="AJ229"/>
    <hyperlink r:id="rId457" ref="AI230"/>
    <hyperlink r:id="rId458" ref="AJ230"/>
    <hyperlink r:id="rId459" ref="AI231"/>
    <hyperlink r:id="rId460" ref="AJ231"/>
    <hyperlink r:id="rId461" ref="AI232"/>
    <hyperlink r:id="rId462" ref="AJ232"/>
    <hyperlink r:id="rId463" ref="AI233"/>
    <hyperlink r:id="rId464" ref="AJ233"/>
    <hyperlink r:id="rId465" ref="AI234"/>
    <hyperlink r:id="rId466" ref="AJ234"/>
    <hyperlink r:id="rId467" ref="AI235"/>
    <hyperlink r:id="rId468" ref="AJ235"/>
    <hyperlink r:id="rId469" ref="AI236"/>
    <hyperlink r:id="rId470" ref="AJ236"/>
    <hyperlink r:id="rId471" ref="AI237"/>
    <hyperlink r:id="rId472" ref="AJ237"/>
    <hyperlink r:id="rId473" ref="AI238"/>
    <hyperlink r:id="rId474" ref="AJ238"/>
    <hyperlink r:id="rId475" ref="AI239"/>
    <hyperlink r:id="rId476" ref="AJ239"/>
    <hyperlink r:id="rId477" ref="AI240"/>
    <hyperlink r:id="rId478" ref="AJ240"/>
    <hyperlink r:id="rId479" ref="AI241"/>
    <hyperlink r:id="rId480" ref="AJ241"/>
    <hyperlink r:id="rId481" ref="AI242"/>
    <hyperlink r:id="rId482" ref="AJ242"/>
    <hyperlink r:id="rId483" ref="AI243"/>
    <hyperlink r:id="rId484" ref="AJ243"/>
  </hyperlinks>
  <drawing r:id="rId485"/>
</worksheet>
</file>