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776f88022f5b7/Pulpit/Projects/Mercor/Accounting/"/>
    </mc:Choice>
  </mc:AlternateContent>
  <xr:revisionPtr revIDLastSave="26" documentId="8_{ED18B393-7C61-4545-9288-A8298E4DBB47}" xr6:coauthVersionLast="47" xr6:coauthVersionMax="47" xr10:uidLastSave="{42A94410-17AA-44ED-BEA7-1501B96C8357}"/>
  <bookViews>
    <workbookView xWindow="-108" yWindow="-108" windowWidth="23256" windowHeight="12456" xr2:uid="{00857F1B-1335-4AD9-BCA1-B24919E20417}"/>
  </bookViews>
  <sheets>
    <sheet name="IT development co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18" i="1"/>
  <c r="A17" i="1"/>
  <c r="A16" i="1"/>
  <c r="F15" i="1"/>
  <c r="E15" i="1"/>
  <c r="D15" i="1"/>
  <c r="A14" i="1"/>
  <c r="A13" i="1"/>
  <c r="F12" i="1"/>
  <c r="E12" i="1"/>
  <c r="D12" i="1"/>
  <c r="A11" i="1"/>
  <c r="A10" i="1"/>
  <c r="A9" i="1"/>
  <c r="A8" i="1"/>
  <c r="A7" i="1"/>
  <c r="A6" i="1"/>
  <c r="F5" i="1"/>
  <c r="F4" i="1" s="1"/>
  <c r="E5" i="1"/>
  <c r="E4" i="1" s="1"/>
  <c r="D5" i="1"/>
  <c r="D4" i="1" s="1"/>
  <c r="D3" i="1" l="1"/>
  <c r="F3" i="1"/>
  <c r="E3" i="1"/>
</calcChain>
</file>

<file path=xl/sharedStrings.xml><?xml version="1.0" encoding="utf-8"?>
<sst xmlns="http://schemas.openxmlformats.org/spreadsheetml/2006/main" count="22" uniqueCount="22">
  <si>
    <t>OPEX%</t>
  </si>
  <si>
    <t>CAPEX%</t>
  </si>
  <si>
    <t>Costs</t>
  </si>
  <si>
    <t>Program central costs</t>
  </si>
  <si>
    <t>Template development and adjustment</t>
  </si>
  <si>
    <t>ERP - vendor fees</t>
  </si>
  <si>
    <t>ERP - internal customization overhead</t>
  </si>
  <si>
    <t>FSM/CRM - vendor fees</t>
  </si>
  <si>
    <t>Central program team</t>
  </si>
  <si>
    <t>AMS support</t>
  </si>
  <si>
    <t>Integration with CDP</t>
  </si>
  <si>
    <t>License costs</t>
  </si>
  <si>
    <t>ERP</t>
  </si>
  <si>
    <t>FSM/CRM</t>
  </si>
  <si>
    <t>Local project costs</t>
  </si>
  <si>
    <t xml:space="preserve">Business BPO &amp; key users </t>
  </si>
  <si>
    <t>Local PM, CM and comms</t>
  </si>
  <si>
    <t>Architecture, IT and data mgmt</t>
  </si>
  <si>
    <t>Contingency / hypercare</t>
  </si>
  <si>
    <t>Benefits</t>
  </si>
  <si>
    <t>FSM benefits</t>
  </si>
  <si>
    <t>Decommissioning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</si>
</sst>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164" fontId="3" fillId="2" borderId="0" xfId="1" applyNumberFormat="1" applyFont="1" applyFill="1"/>
    <xf numFmtId="9" fontId="0" fillId="0" borderId="0" xfId="2" applyFont="1"/>
    <xf numFmtId="0" fontId="4" fillId="3" borderId="0" xfId="0" applyFont="1" applyFill="1"/>
    <xf numFmtId="164" fontId="3" fillId="3" borderId="0" xfId="1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0" fontId="0" fillId="4" borderId="0" xfId="0" applyFill="1" applyAlignment="1">
      <alignment horizontal="left" indent="1"/>
    </xf>
    <xf numFmtId="164" fontId="0" fillId="4" borderId="0" xfId="1" applyNumberFormat="1" applyFont="1" applyFill="1"/>
    <xf numFmtId="164" fontId="0" fillId="0" borderId="0" xfId="0" applyNumberFormat="1"/>
    <xf numFmtId="164" fontId="3" fillId="4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826F-1694-435D-B4EF-1FFC249C38DC}">
  <dimension ref="A2:H22"/>
  <sheetViews>
    <sheetView tabSelected="1" workbookViewId="0">
      <selection activeCell="I1" sqref="I1:K1048576"/>
    </sheetView>
  </sheetViews>
  <sheetFormatPr defaultRowHeight="14.4" x14ac:dyDescent="0.3"/>
  <cols>
    <col min="3" max="3" width="35" bestFit="1" customWidth="1"/>
  </cols>
  <sheetData>
    <row r="2" spans="1:7" x14ac:dyDescent="0.3">
      <c r="A2" t="s">
        <v>0</v>
      </c>
      <c r="B2" t="s">
        <v>1</v>
      </c>
      <c r="D2">
        <v>2021</v>
      </c>
      <c r="E2">
        <v>2022</v>
      </c>
      <c r="F2">
        <v>2023</v>
      </c>
    </row>
    <row r="3" spans="1:7" x14ac:dyDescent="0.3">
      <c r="C3" s="1" t="s">
        <v>2</v>
      </c>
      <c r="D3" s="2">
        <f t="shared" ref="D3:E3" si="0">D4+D12+D15</f>
        <v>-280</v>
      </c>
      <c r="E3" s="2">
        <f t="shared" si="0"/>
        <v>-982</v>
      </c>
      <c r="F3" s="2">
        <f>F4+F12+F15</f>
        <v>-950</v>
      </c>
    </row>
    <row r="4" spans="1:7" x14ac:dyDescent="0.3">
      <c r="A4" s="3"/>
      <c r="B4" s="3"/>
      <c r="C4" s="4" t="s">
        <v>3</v>
      </c>
      <c r="D4" s="5">
        <f>D5+D9+D10+D11</f>
        <v>-245</v>
      </c>
      <c r="E4" s="5">
        <f t="shared" ref="E4:F4" si="1">E5+E9+E10+E11</f>
        <v>-562</v>
      </c>
      <c r="F4" s="5">
        <f t="shared" si="1"/>
        <v>-598</v>
      </c>
    </row>
    <row r="5" spans="1:7" x14ac:dyDescent="0.3">
      <c r="A5" s="3"/>
      <c r="B5" s="3"/>
      <c r="C5" s="6" t="s">
        <v>4</v>
      </c>
      <c r="D5" s="7">
        <f>SUM(D6:D8)</f>
        <v>-175</v>
      </c>
      <c r="E5" s="7">
        <f t="shared" ref="E5:F5" si="2">SUM(E6:E8)</f>
        <v>-387</v>
      </c>
      <c r="F5" s="7">
        <f t="shared" si="2"/>
        <v>-211</v>
      </c>
    </row>
    <row r="6" spans="1:7" x14ac:dyDescent="0.3">
      <c r="A6" s="3">
        <f t="shared" ref="A6:A19" si="3">1-B6</f>
        <v>0.5</v>
      </c>
      <c r="B6" s="3">
        <v>0.5</v>
      </c>
      <c r="C6" s="8" t="s">
        <v>5</v>
      </c>
      <c r="D6" s="9">
        <v>-70</v>
      </c>
      <c r="E6" s="9">
        <v>-176</v>
      </c>
      <c r="F6" s="9">
        <v>-141</v>
      </c>
      <c r="G6" s="10"/>
    </row>
    <row r="7" spans="1:7" x14ac:dyDescent="0.3">
      <c r="A7" s="3">
        <f t="shared" si="3"/>
        <v>0.5</v>
      </c>
      <c r="B7" s="3">
        <v>0.5</v>
      </c>
      <c r="C7" s="8" t="s">
        <v>6</v>
      </c>
      <c r="D7" s="9">
        <v>0</v>
      </c>
      <c r="E7" s="9">
        <v>-70</v>
      </c>
      <c r="F7" s="9">
        <v>-35</v>
      </c>
      <c r="G7" s="10"/>
    </row>
    <row r="8" spans="1:7" x14ac:dyDescent="0.3">
      <c r="A8" s="3">
        <f t="shared" si="3"/>
        <v>0.5</v>
      </c>
      <c r="B8" s="3">
        <v>0.5</v>
      </c>
      <c r="C8" s="8" t="s">
        <v>7</v>
      </c>
      <c r="D8" s="9">
        <v>-105</v>
      </c>
      <c r="E8" s="9">
        <v>-141</v>
      </c>
      <c r="F8" s="9">
        <v>-35</v>
      </c>
      <c r="G8" s="10"/>
    </row>
    <row r="9" spans="1:7" x14ac:dyDescent="0.3">
      <c r="A9" s="3">
        <f t="shared" si="3"/>
        <v>0.5</v>
      </c>
      <c r="B9" s="3">
        <v>0.5</v>
      </c>
      <c r="C9" s="6" t="s">
        <v>8</v>
      </c>
      <c r="D9" s="11">
        <v>-70</v>
      </c>
      <c r="E9" s="11">
        <v>-105</v>
      </c>
      <c r="F9" s="11">
        <v>-176</v>
      </c>
      <c r="G9" s="10"/>
    </row>
    <row r="10" spans="1:7" x14ac:dyDescent="0.3">
      <c r="A10" s="3">
        <f t="shared" si="3"/>
        <v>1</v>
      </c>
      <c r="B10" s="3">
        <v>0</v>
      </c>
      <c r="C10" s="6" t="s">
        <v>9</v>
      </c>
      <c r="D10" s="11">
        <v>0</v>
      </c>
      <c r="E10" s="11">
        <v>-35</v>
      </c>
      <c r="F10" s="11">
        <v>-141</v>
      </c>
      <c r="G10" s="10"/>
    </row>
    <row r="11" spans="1:7" x14ac:dyDescent="0.3">
      <c r="A11" s="3">
        <f t="shared" si="3"/>
        <v>0</v>
      </c>
      <c r="B11" s="3">
        <v>1</v>
      </c>
      <c r="C11" s="6" t="s">
        <v>10</v>
      </c>
      <c r="D11" s="11">
        <v>0</v>
      </c>
      <c r="E11" s="11">
        <v>-35</v>
      </c>
      <c r="F11" s="11">
        <v>-70</v>
      </c>
      <c r="G11" s="10"/>
    </row>
    <row r="12" spans="1:7" x14ac:dyDescent="0.3">
      <c r="A12" s="3"/>
      <c r="B12" s="3"/>
      <c r="C12" s="4" t="s">
        <v>11</v>
      </c>
      <c r="D12" s="5">
        <f>SUM(D13:D14)</f>
        <v>0</v>
      </c>
      <c r="E12" s="5">
        <f t="shared" ref="E12:F12" si="4">SUM(E13:E14)</f>
        <v>-175</v>
      </c>
      <c r="F12" s="5">
        <f t="shared" si="4"/>
        <v>-282</v>
      </c>
      <c r="G12" s="10"/>
    </row>
    <row r="13" spans="1:7" x14ac:dyDescent="0.3">
      <c r="A13" s="3">
        <f t="shared" si="3"/>
        <v>1</v>
      </c>
      <c r="B13" s="3"/>
      <c r="C13" s="8" t="s">
        <v>12</v>
      </c>
      <c r="D13" s="9">
        <v>0</v>
      </c>
      <c r="E13" s="9">
        <v>-70</v>
      </c>
      <c r="F13" s="9">
        <v>-141</v>
      </c>
      <c r="G13" s="10"/>
    </row>
    <row r="14" spans="1:7" x14ac:dyDescent="0.3">
      <c r="A14" s="3">
        <f t="shared" si="3"/>
        <v>1</v>
      </c>
      <c r="B14" s="3"/>
      <c r="C14" s="8" t="s">
        <v>13</v>
      </c>
      <c r="D14" s="9">
        <v>0</v>
      </c>
      <c r="E14" s="9">
        <v>-105</v>
      </c>
      <c r="F14" s="9">
        <v>-141</v>
      </c>
      <c r="G14" s="10"/>
    </row>
    <row r="15" spans="1:7" x14ac:dyDescent="0.3">
      <c r="A15" s="3"/>
      <c r="B15" s="3"/>
      <c r="C15" s="4" t="s">
        <v>14</v>
      </c>
      <c r="D15" s="5">
        <f>SUM(D16:D19)</f>
        <v>-35</v>
      </c>
      <c r="E15" s="5">
        <f t="shared" ref="E15:F15" si="5">SUM(E16:E19)</f>
        <v>-245</v>
      </c>
      <c r="F15" s="5">
        <f t="shared" si="5"/>
        <v>-70</v>
      </c>
      <c r="G15" s="10"/>
    </row>
    <row r="16" spans="1:7" x14ac:dyDescent="0.3">
      <c r="A16" s="3">
        <f t="shared" si="3"/>
        <v>0.33637802340216072</v>
      </c>
      <c r="B16" s="3">
        <v>0.66362197659783928</v>
      </c>
      <c r="C16" s="8" t="s">
        <v>15</v>
      </c>
      <c r="D16" s="9">
        <v>-35</v>
      </c>
      <c r="E16" s="9">
        <v>-70</v>
      </c>
      <c r="F16" s="9">
        <v>0</v>
      </c>
      <c r="G16" s="10"/>
    </row>
    <row r="17" spans="1:8" x14ac:dyDescent="0.3">
      <c r="A17" s="3">
        <f t="shared" si="3"/>
        <v>0.33637802340216072</v>
      </c>
      <c r="B17" s="3">
        <v>0.66362197659783928</v>
      </c>
      <c r="C17" s="8" t="s">
        <v>16</v>
      </c>
      <c r="D17" s="9">
        <v>0</v>
      </c>
      <c r="E17" s="9">
        <v>-70</v>
      </c>
      <c r="F17" s="9">
        <v>0</v>
      </c>
      <c r="G17" s="10"/>
    </row>
    <row r="18" spans="1:8" x14ac:dyDescent="0.3">
      <c r="A18" s="3">
        <f t="shared" si="3"/>
        <v>0.33637802340216072</v>
      </c>
      <c r="B18" s="3">
        <v>0.66362197659783928</v>
      </c>
      <c r="C18" s="8" t="s">
        <v>17</v>
      </c>
      <c r="D18" s="9">
        <v>0</v>
      </c>
      <c r="E18" s="9">
        <v>-35</v>
      </c>
      <c r="F18" s="9">
        <v>0</v>
      </c>
      <c r="G18" s="10"/>
    </row>
    <row r="19" spans="1:8" x14ac:dyDescent="0.3">
      <c r="A19" s="3">
        <f t="shared" si="3"/>
        <v>0.33637802340216072</v>
      </c>
      <c r="B19" s="3">
        <v>0.66362197659783928</v>
      </c>
      <c r="C19" s="8" t="s">
        <v>18</v>
      </c>
      <c r="D19" s="9">
        <v>0</v>
      </c>
      <c r="E19" s="9">
        <v>-70</v>
      </c>
      <c r="F19" s="9">
        <v>-70</v>
      </c>
      <c r="G19" s="10"/>
    </row>
    <row r="20" spans="1:8" x14ac:dyDescent="0.3">
      <c r="A20" s="3"/>
      <c r="B20" s="3"/>
      <c r="C20" s="1" t="s">
        <v>19</v>
      </c>
      <c r="D20" s="2">
        <v>0</v>
      </c>
      <c r="E20" s="2">
        <v>0</v>
      </c>
      <c r="F20" s="2">
        <v>1.0636871999999999</v>
      </c>
      <c r="G20" s="10"/>
      <c r="H20" s="10"/>
    </row>
    <row r="21" spans="1:8" x14ac:dyDescent="0.3">
      <c r="C21" s="4" t="s">
        <v>20</v>
      </c>
      <c r="D21" s="5">
        <v>0</v>
      </c>
      <c r="E21" s="5">
        <v>0</v>
      </c>
      <c r="F21" s="5">
        <v>0.93868720000000005</v>
      </c>
      <c r="G21" s="10"/>
      <c r="H21" s="10"/>
    </row>
    <row r="22" spans="1:8" x14ac:dyDescent="0.3">
      <c r="C22" s="4" t="s">
        <v>21</v>
      </c>
      <c r="D22" s="5">
        <v>0</v>
      </c>
      <c r="E22" s="5">
        <v>0</v>
      </c>
      <c r="F22" s="5">
        <v>0.125</v>
      </c>
      <c r="G22" s="10"/>
      <c r="H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development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Bartłomiejczyk</dc:creator>
  <cp:lastModifiedBy>Michał Bartłomiejczyk</cp:lastModifiedBy>
  <dcterms:created xsi:type="dcterms:W3CDTF">2026-01-30T02:06:10Z</dcterms:created>
  <dcterms:modified xsi:type="dcterms:W3CDTF">2026-01-30T03:54:53Z</dcterms:modified>
</cp:coreProperties>
</file>