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Control &amp; Assumptions" sheetId="1" r:id="rId4"/>
    <sheet state="visible" name="1.1 Trial Balance Summary" sheetId="2" r:id="rId5"/>
    <sheet state="visible" name="1.2 BookTax Tie-out" sheetId="3" r:id="rId6"/>
    <sheet state="visible" name="1.3 Federal Tax Return Summarie" sheetId="4" r:id="rId7"/>
    <sheet state="visible" name="1.4 Fixed Asset Summary" sheetId="5" r:id="rId8"/>
    <sheet state="visible" name="3 Revenue Timing Adjustments " sheetId="6" r:id="rId9"/>
    <sheet state="visible" name="2 Book Income Summary" sheetId="7" r:id="rId10"/>
    <sheet state="visible" name="4 Depreciation Adjustment" sheetId="8" r:id="rId11"/>
    <sheet state="visible" name="5 Taxable Income Bridge" sheetId="9" r:id="rId12"/>
    <sheet state="visible" name="6 Federal Tax Exposure" sheetId="10" r:id="rId13"/>
    <sheet state="visible" name="7 State Tax Exposure" sheetId="11" r:id="rId14"/>
    <sheet state="visible" name="8 Penalties &amp; Interest" sheetId="12" r:id="rId15"/>
    <sheet state="visible" name="9 Total Exposure Summary" sheetId="13" r:id="rId16"/>
    <sheet state="visible" name="10 Deferred Tax Rollforward" sheetId="14" r:id="rId17"/>
  </sheets>
  <definedNames/>
  <calcPr/>
  <extLst>
    <ext uri="GoogleSheetsCustomDataVersion2">
      <go:sheetsCustomData xmlns:go="http://customooxmlschemas.google.com/" r:id="rId18" roundtripDataChecksum="eFifEHEOV4OFGfd5PnI8qP8TLl4Ge58qExQJ46zzzwg="/>
    </ext>
  </extLst>
</workbook>
</file>

<file path=xl/sharedStrings.xml><?xml version="1.0" encoding="utf-8"?>
<sst xmlns="http://schemas.openxmlformats.org/spreadsheetml/2006/main" count="390" uniqueCount="264">
  <si>
    <t>Company Name</t>
  </si>
  <si>
    <t>Redwood Components Inc.</t>
  </si>
  <si>
    <t>Industry</t>
  </si>
  <si>
    <t>Manufacturing</t>
  </si>
  <si>
    <t>Engagement</t>
  </si>
  <si>
    <t>Corporate Tax Exposure Assessment</t>
  </si>
  <si>
    <t>Entity &amp; Filing Profile</t>
  </si>
  <si>
    <t>Legal Entity Structure</t>
  </si>
  <si>
    <t>Consolidated Group</t>
  </si>
  <si>
    <t>Federal Tax Classification</t>
  </si>
  <si>
    <t>C-Corporation</t>
  </si>
  <si>
    <t>Tax Accounting Method</t>
  </si>
  <si>
    <t>Accrual</t>
  </si>
  <si>
    <t>Applicable GAAP</t>
  </si>
  <si>
    <t>US GAAP</t>
  </si>
  <si>
    <t>Filing Basis</t>
  </si>
  <si>
    <t>Consolidated</t>
  </si>
  <si>
    <t>Redwood Components, Inc.</t>
  </si>
  <si>
    <t>Entity Type</t>
  </si>
  <si>
    <t>State of Incorporation</t>
  </si>
  <si>
    <t>Delaware</t>
  </si>
  <si>
    <t>Federal Role</t>
  </si>
  <si>
    <t>Parent/Operating Company</t>
  </si>
  <si>
    <t>Primary Activities</t>
  </si>
  <si>
    <t>Manufacturing and domestic sales of components</t>
  </si>
  <si>
    <t>Filing Status</t>
  </si>
  <si>
    <t>Included in US consolidated return</t>
  </si>
  <si>
    <t>States with Nexus</t>
  </si>
  <si>
    <t>CA, IL, PA, OH</t>
  </si>
  <si>
    <t>Redwood Components Manufacturing, LLC</t>
  </si>
  <si>
    <t>LLC (Disregarded Entity)</t>
  </si>
  <si>
    <t>Owner</t>
  </si>
  <si>
    <t>Redwood Components, Inc (100%)</t>
  </si>
  <si>
    <t>State of Formation</t>
  </si>
  <si>
    <t>Ohio</t>
  </si>
  <si>
    <t>Manufacturing and assembly operations</t>
  </si>
  <si>
    <t>Tax Treatment</t>
  </si>
  <si>
    <t>Disregarded for federal and state income tax purposes</t>
  </si>
  <si>
    <t>Notes</t>
  </si>
  <si>
    <t>Holds plant, machinery, and production labor</t>
  </si>
  <si>
    <t>Redwood Components Distribution, LLC</t>
  </si>
  <si>
    <t>Illinois</t>
  </si>
  <si>
    <t>Warehousing, logistics, and distribution</t>
  </si>
  <si>
    <t>Creates clean sales-factor nexus in multiple states</t>
  </si>
  <si>
    <t>Purpose of Analysis</t>
  </si>
  <si>
    <t>Tax Compliance</t>
  </si>
  <si>
    <t>Tax Years Covered</t>
  </si>
  <si>
    <t>2021-2024</t>
  </si>
  <si>
    <t>Taxes Covered</t>
  </si>
  <si>
    <t>Federal &amp; State Income Tax</t>
  </si>
  <si>
    <t>Items in Scope</t>
  </si>
  <si>
    <t>Revenue timing; depreciation</t>
  </si>
  <si>
    <t>Items Explicitly Out of Scope</t>
  </si>
  <si>
    <t>R&amp;D credits, transfer pricing, SALT nexus study</t>
  </si>
  <si>
    <t>State &amp; Apportionment Assumptions</t>
  </si>
  <si>
    <t>Category</t>
  </si>
  <si>
    <t>Assumption / Description</t>
  </si>
  <si>
    <t>Notes / Limitations</t>
  </si>
  <si>
    <t>States in Scope</t>
  </si>
  <si>
    <t>CA, IL, PA, OH, TX</t>
  </si>
  <si>
    <t>Based on historical filings and operational presence</t>
  </si>
  <si>
    <t>Tax Types Covered</t>
  </si>
  <si>
    <t>State income, franchise, and gross receipts taxes</t>
  </si>
  <si>
    <t>Non-income taxes modeled at a high level</t>
  </si>
  <si>
    <t>Nexus Basis</t>
  </si>
  <si>
    <t>Physical presence and sales activity</t>
  </si>
  <si>
    <t>No standalone nexus study performed</t>
  </si>
  <si>
    <t>Filing Method</t>
  </si>
  <si>
    <t>Separate-entity state filings</t>
  </si>
  <si>
    <t>Federal consolidated return</t>
  </si>
  <si>
    <t>Primary Apportionment Method</t>
  </si>
  <si>
    <t>Single sales factor</t>
  </si>
  <si>
    <t>Consistent with majority of states</t>
  </si>
  <si>
    <t>Sales Sourcing</t>
  </si>
  <si>
    <t>Destination-based sourcing for tangible personal property</t>
  </si>
  <si>
    <t>FOB shipping point assumed unless contractually overridden</t>
  </si>
  <si>
    <t>Throwback / Throwout Rules</t>
  </si>
  <si>
    <t>Not modeled</t>
  </si>
  <si>
    <t>May understate exposure in certain states</t>
  </si>
  <si>
    <t>Intercompany Sales</t>
  </si>
  <si>
    <t>Eliminated for apportionment purposes</t>
  </si>
  <si>
    <t>Assumed immaterial</t>
  </si>
  <si>
    <t>Apportionment Percentages</t>
  </si>
  <si>
    <t>Estimated based on prior-year returns</t>
  </si>
  <si>
    <t>Not recomputed as part of this analysis</t>
  </si>
  <si>
    <t>Revenue Timing Adjustments</t>
  </si>
  <si>
    <t>Assumed to flow through to states</t>
  </si>
  <si>
    <t>State decoupling not separately analyzed</t>
  </si>
  <si>
    <t>Depreciation Conformity</t>
  </si>
  <si>
    <t>Partial or no bonus conformity assumed for CA and PA</t>
  </si>
  <si>
    <t>IL and OH assumed to conform unless noted</t>
  </si>
  <si>
    <t>State §481(a) Adjustments</t>
  </si>
  <si>
    <t>Federal method change only</t>
  </si>
  <si>
    <t>State Tax Rates</t>
  </si>
  <si>
    <t>Blended effective state rate applied</t>
  </si>
  <si>
    <t>Statutory rates vary by state</t>
  </si>
  <si>
    <t>Non-Income Tax States</t>
  </si>
  <si>
    <t>TX (franchise), OH (CAT)</t>
  </si>
  <si>
    <t>Modeled using simplified approach</t>
  </si>
  <si>
    <t>Penalties &amp; Interest</t>
  </si>
  <si>
    <t>Assumed applicable to income-based states only</t>
  </si>
  <si>
    <t>CAT and margin tax penalties not fully modeled</t>
  </si>
  <si>
    <t>Statute of Limitations</t>
  </si>
  <si>
    <t>Assumed open for all years analyzed</t>
  </si>
  <si>
    <t>Subject to confirmation</t>
  </si>
  <si>
    <t>Key Sensitivities</t>
  </si>
  <si>
    <t>Sales sourcing, bonus depreciation decoupling</t>
  </si>
  <si>
    <t>Could materially change exposure</t>
  </si>
  <si>
    <t>Overall State Risk Rating</t>
  </si>
  <si>
    <t>Medium</t>
  </si>
  <si>
    <t>Based on estimation and conformity assumptions</t>
  </si>
  <si>
    <t xml:space="preserve">*State tax exposure amounts are estimates and are subject to change based on final apportionment data, nexus determinations, state conformity rules, and audit outcomes.
</t>
  </si>
  <si>
    <t>Tax Rate &amp; Penalty Assumptions</t>
  </si>
  <si>
    <t>Federal Tax Rate</t>
  </si>
  <si>
    <t>Avg. State Tax Rate</t>
  </si>
  <si>
    <t>Penalty Rate (Annualized)</t>
  </si>
  <si>
    <t>Interest Rate (Fed)</t>
  </si>
  <si>
    <t>Interest Rate (State)</t>
  </si>
  <si>
    <t>Company Financial Snapshot (GAAP)</t>
  </si>
  <si>
    <t>Item</t>
  </si>
  <si>
    <t>Amount</t>
  </si>
  <si>
    <t>Annual Revenue (FY 2024)</t>
  </si>
  <si>
    <t>Gross Margin</t>
  </si>
  <si>
    <t>EBITDA Margin</t>
  </si>
  <si>
    <t>Pretax Book Income (Avg.)</t>
  </si>
  <si>
    <t>Total Assets</t>
  </si>
  <si>
    <t>Fixed Assets (Net)</t>
  </si>
  <si>
    <t>Deferred Tax Assets (Reported)</t>
  </si>
  <si>
    <t>Deferred Tax Assets (Corrected)</t>
  </si>
  <si>
    <t>Cash Taxes Paid (Avg./Yr)</t>
  </si>
  <si>
    <t>2021 Trial Balance Summary</t>
  </si>
  <si>
    <t>Account</t>
  </si>
  <si>
    <t>Debit</t>
  </si>
  <si>
    <t>Credit</t>
  </si>
  <si>
    <t>Gross Revenue</t>
  </si>
  <si>
    <t>Sales Returns &amp; Allowances</t>
  </si>
  <si>
    <t>Net Revenue</t>
  </si>
  <si>
    <t>Cost of Goods Sold</t>
  </si>
  <si>
    <t>Gross Profit</t>
  </si>
  <si>
    <t>Selling Expenses</t>
  </si>
  <si>
    <t>General &amp; Administrative</t>
  </si>
  <si>
    <t>R&amp;D Expense</t>
  </si>
  <si>
    <t>Depreciation &amp; Amortization</t>
  </si>
  <si>
    <t>Total Operating Expenses</t>
  </si>
  <si>
    <t>Operating Income (EBIT)</t>
  </si>
  <si>
    <t>Interest Expense</t>
  </si>
  <si>
    <t>Other Income (Net)</t>
  </si>
  <si>
    <t>Pretax Book Income</t>
  </si>
  <si>
    <t>2022 Trial Balance Summary</t>
  </si>
  <si>
    <t>2023 Trial Balance Summary</t>
  </si>
  <si>
    <t>2021 Book to Tax Reconciliation</t>
  </si>
  <si>
    <t>Permanent Differences:</t>
  </si>
  <si>
    <t>– Meals &amp; nondeductible expenses</t>
  </si>
  <si>
    <t>– Officer compensation limitation</t>
  </si>
  <si>
    <t>Temporary Differences:</t>
  </si>
  <si>
    <t>+ Revenue timing adjustment (§451)</t>
  </si>
  <si>
    <t>– Depreciation timing (bonus/MACRS)</t>
  </si>
  <si>
    <t>Taxable Income (Recomputed)</t>
  </si>
  <si>
    <t>2022 Book to Tax Reconciliation</t>
  </si>
  <si>
    <t>2023 Book to Tax Reconciliation</t>
  </si>
  <si>
    <t>2021 Federal Tax Summary</t>
  </si>
  <si>
    <t>Federal Rate</t>
  </si>
  <si>
    <t>Federal Income Tax</t>
  </si>
  <si>
    <t>2022 Federal Tax Summary</t>
  </si>
  <si>
    <t>2023 Federal Tax Summary</t>
  </si>
  <si>
    <t>Fixed Asset Classes &amp; Cost Basis</t>
  </si>
  <si>
    <t>Asset Class</t>
  </si>
  <si>
    <t>MACRS Life</t>
  </si>
  <si>
    <t>Acqusition Date</t>
  </si>
  <si>
    <t>Cost Basis</t>
  </si>
  <si>
    <t>Manufacturing Equipment</t>
  </si>
  <si>
    <t>7-year</t>
  </si>
  <si>
    <t>Tooling &amp; Dies</t>
  </si>
  <si>
    <t>5-year</t>
  </si>
  <si>
    <t>Automation &amp; Robotics</t>
  </si>
  <si>
    <t>IT Hardware &amp; Systems</t>
  </si>
  <si>
    <t>Total Depreciable Basis</t>
  </si>
  <si>
    <t>Assets were placed in service during 2021–2023 and are eligible for MACRS depreciation.</t>
  </si>
  <si>
    <t>Book Depreciation Summary (Straight-Line)</t>
  </si>
  <si>
    <t>Book method: Straight-line</t>
  </si>
  <si>
    <t>Useful lives: 5-7 years</t>
  </si>
  <si>
    <t>All assets acquired at the beginning of each year</t>
  </si>
  <si>
    <t>Year</t>
  </si>
  <si>
    <t>Beginning NBV</t>
  </si>
  <si>
    <t>Additions</t>
  </si>
  <si>
    <t>Book Depreciation</t>
  </si>
  <si>
    <t>Ending NBV</t>
  </si>
  <si>
    <t>Tax Depreciation Summary (MACRS)</t>
  </si>
  <si>
    <t>Tax method: MACRS</t>
  </si>
  <si>
    <t>Asset Additions</t>
  </si>
  <si>
    <t>Bonus Depreciation</t>
  </si>
  <si>
    <t>MACRS Depreciation</t>
  </si>
  <si>
    <t>Total Tax Depreciation</t>
  </si>
  <si>
    <t>Depreciation Adjustment Reconciliation</t>
  </si>
  <si>
    <t>Correct Tax Depreciation</t>
  </si>
  <si>
    <t>Depreciation Adjustment</t>
  </si>
  <si>
    <t>Total</t>
  </si>
  <si>
    <t>Deferred Tax Implication (Rollforward Basis)</t>
  </si>
  <si>
    <t>Incremental Temporary Difference</t>
  </si>
  <si>
    <t>Cumulative</t>
  </si>
  <si>
    <t>Issue 1: Revenue Recognition Timing (ASC 606 vs IRC §451)</t>
  </si>
  <si>
    <t>Fact Pattern</t>
  </si>
  <si>
    <t>Long-term OEM supply contracts</t>
  </si>
  <si>
    <t>Book revenue recognized over time</t>
  </si>
  <si>
    <t>Tax revenue should be recognized at shipment</t>
  </si>
  <si>
    <t>Book Revenue</t>
  </si>
  <si>
    <t>Correct Tax Revenue</t>
  </si>
  <si>
    <t>Timing Difference</t>
  </si>
  <si>
    <t>Reversal Profile (Temporary Difference Confirmation)</t>
  </si>
  <si>
    <t>Timing difference fully reverses as products ship in subsequent periods</t>
  </si>
  <si>
    <t>No permanent difference created</t>
  </si>
  <si>
    <t>Adjustment gives rise to a Deferred Tax Asset (DTA)</t>
  </si>
  <si>
    <t>Book-Tax Revenue Timing Diff</t>
  </si>
  <si>
    <t>Expected Reversal</t>
  </si>
  <si>
    <t>2022–2023</t>
  </si>
  <si>
    <t>2023–2024</t>
  </si>
  <si>
    <t>2024</t>
  </si>
  <si>
    <t>Revenue</t>
  </si>
  <si>
    <t>EBITDA</t>
  </si>
  <si>
    <t>Issue 2: Depreciation Method Error (IRC §168)</t>
  </si>
  <si>
    <t>Straight-line depreciation used for GAAP</t>
  </si>
  <si>
    <t>Assets qualified for MACRS depreciation at declining balance</t>
  </si>
  <si>
    <t>Negative = tax benefit</t>
  </si>
  <si>
    <t>Tax Depreciation (Correct)</t>
  </si>
  <si>
    <t>Taxable income income adjustment from depreciation</t>
  </si>
  <si>
    <t>Issue 3: Deferred Tax Accounting Error (ASC 740)</t>
  </si>
  <si>
    <t>Deferred tax assets not recorded for revenue timing differences</t>
  </si>
  <si>
    <t>Incorrect provision and retained earnings rollforward</t>
  </si>
  <si>
    <t>Permnanent Difference</t>
  </si>
  <si>
    <t>Reported Taxable Income</t>
  </si>
  <si>
    <t>Revenue Adj. (Temporary)</t>
  </si>
  <si>
    <t>Deprec. Adj. (Temporary)</t>
  </si>
  <si>
    <t>Net TI Increase</t>
  </si>
  <si>
    <t>Taxable Income</t>
  </si>
  <si>
    <t>Federal Tax Exposure</t>
  </si>
  <si>
    <t>Fed Rate</t>
  </si>
  <si>
    <t>Tax Underpaid (Overpaid)</t>
  </si>
  <si>
    <t>Years Outstanding</t>
  </si>
  <si>
    <t>Penalties</t>
  </si>
  <si>
    <t>Accumulated Tax Debt</t>
  </si>
  <si>
    <t>Accumulated Penalties</t>
  </si>
  <si>
    <t>Interest</t>
  </si>
  <si>
    <t>Accumulated Interest</t>
  </si>
  <si>
    <t>State Tax Exposure</t>
  </si>
  <si>
    <t>State Rate</t>
  </si>
  <si>
    <t>Estimated Penalties &amp; Interest</t>
  </si>
  <si>
    <t>Jurisdiction</t>
  </si>
  <si>
    <t>Tax Due</t>
  </si>
  <si>
    <t>Federal</t>
  </si>
  <si>
    <t>State</t>
  </si>
  <si>
    <t>Total Cumulative Exposure</t>
  </si>
  <si>
    <t>Federal Tax</t>
  </si>
  <si>
    <t>State Tax</t>
  </si>
  <si>
    <t>Total Exposure</t>
  </si>
  <si>
    <t>Book/Tax &amp; Financial Statement Consistency</t>
  </si>
  <si>
    <t>Deferred Tax Impact</t>
  </si>
  <si>
    <t>Revenue Timing Difference (DTA)</t>
  </si>
  <si>
    <t>Depreciation Timing Difference (DTL)</t>
  </si>
  <si>
    <t>Net Temporary Difference</t>
  </si>
  <si>
    <t>Federal DTA (21%)</t>
  </si>
  <si>
    <t>State DTA (6.5%)</t>
  </si>
  <si>
    <t>Correct Net DTA</t>
  </si>
  <si>
    <t>Reported DTA</t>
  </si>
  <si>
    <t>DTA/(DTL)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</si>
</sst>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2.0"/>
      <color theme="1"/>
      <name val="Aptos Narrow"/>
      <scheme val="minor"/>
    </font>
    <font>
      <sz val="10.0"/>
      <color theme="1"/>
      <name val="Aptos Narrow"/>
    </font>
    <font>
      <sz val="12.0"/>
      <color rgb="FF000000"/>
      <name val="Aptos Narrow"/>
    </font>
    <font>
      <b/>
      <sz val="12.0"/>
      <color rgb="FF000000"/>
      <name val="Aptos Narrow"/>
    </font>
    <font>
      <sz val="10.0"/>
      <color rgb="FF000000"/>
      <name val="Aptos Narrow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Aptos Narrow"/>
    </font>
    <font>
      <b/>
      <sz val="11.0"/>
      <color rgb="FF000000"/>
      <name val="Aptos Narrow"/>
    </font>
    <font>
      <sz val="11.0"/>
      <color theme="1"/>
      <name val="Aptos Narrow"/>
    </font>
    <font>
      <sz val="10.0"/>
      <color rgb="FF000000"/>
      <name val="Arial"/>
    </font>
    <font>
      <b/>
      <sz val="10.0"/>
      <color rgb="FF000000"/>
      <name val="Arial"/>
    </font>
    <font>
      <sz val="11.0"/>
      <color theme="1"/>
      <name val="Arial"/>
    </font>
    <font>
      <i/>
      <sz val="10.0"/>
      <color theme="1"/>
      <name val="Arial"/>
    </font>
    <font>
      <b/>
      <sz val="11.0"/>
      <color theme="1"/>
      <name val="Aptos Narrow"/>
    </font>
    <font>
      <sz val="10.0"/>
      <color theme="1"/>
      <name val="Arial"/>
    </font>
    <font>
      <b/>
      <sz val="10.0"/>
      <color rgb="FF000000"/>
      <name val="Aptos Narrow"/>
    </font>
    <font>
      <b/>
      <color theme="1"/>
      <name val="Arial"/>
    </font>
    <font>
      <color theme="1"/>
      <name val="Arial"/>
    </font>
    <font>
      <i/>
      <sz val="10.0"/>
      <color rgb="FF000000"/>
      <name val="Aptos Narrow"/>
    </font>
    <font>
      <b/>
      <sz val="12.0"/>
      <color rgb="FF000000"/>
      <name val="Arial"/>
    </font>
    <font>
      <sz val="12.0"/>
      <color theme="1"/>
      <name val="Arial"/>
    </font>
    <font>
      <i/>
      <sz val="10.0"/>
      <color rgb="FF000000"/>
      <name val="Arial"/>
    </font>
    <font>
      <b/>
      <sz val="11.0"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10" xfId="0" applyFont="1" applyNumberFormat="1"/>
    <xf borderId="0" fillId="0" fontId="5" numFmtId="0" xfId="0" applyFont="1"/>
    <xf borderId="0" fillId="0" fontId="6" numFmtId="0" xfId="0" applyFont="1"/>
    <xf borderId="0" fillId="0" fontId="7" numFmtId="10" xfId="0" applyFont="1" applyNumberFormat="1"/>
    <xf borderId="0" fillId="0" fontId="8" numFmtId="0" xfId="0" applyAlignment="1" applyFont="1">
      <alignment horizontal="center"/>
    </xf>
    <xf borderId="0" fillId="0" fontId="9" numFmtId="0" xfId="0" applyFont="1"/>
    <xf borderId="0" fillId="0" fontId="10" numFmtId="0" xfId="0" applyFont="1"/>
    <xf borderId="0" fillId="0" fontId="7" numFmtId="0" xfId="0" applyFont="1"/>
    <xf borderId="0" fillId="0" fontId="11" numFmtId="0" xfId="0" applyFont="1"/>
    <xf borderId="0" fillId="0" fontId="10" numFmtId="0" xfId="0" applyAlignment="1" applyFont="1">
      <alignment shrinkToFit="0" wrapText="1"/>
    </xf>
    <xf borderId="0" fillId="0" fontId="12" numFmtId="0" xfId="0" applyFont="1"/>
    <xf borderId="0" fillId="0" fontId="13" numFmtId="0" xfId="0" applyFont="1"/>
    <xf borderId="0" fillId="0" fontId="8" numFmtId="0" xfId="0" applyFont="1"/>
    <xf borderId="0" fillId="0" fontId="14" numFmtId="0" xfId="0" applyAlignment="1" applyFont="1">
      <alignment horizontal="left"/>
    </xf>
    <xf borderId="0" fillId="0" fontId="4" numFmtId="3" xfId="0" applyFont="1" applyNumberFormat="1"/>
    <xf borderId="0" fillId="0" fontId="1" numFmtId="9" xfId="0" applyFont="1" applyNumberFormat="1"/>
    <xf borderId="0" fillId="0" fontId="10" numFmtId="3" xfId="0" applyFont="1" applyNumberFormat="1"/>
    <xf borderId="0" fillId="0" fontId="15" numFmtId="0" xfId="0" applyFont="1"/>
    <xf borderId="0" fillId="2" fontId="10" numFmtId="3" xfId="0" applyAlignment="1" applyFill="1" applyFont="1" applyNumberFormat="1">
      <alignment readingOrder="0"/>
    </xf>
    <xf borderId="0" fillId="0" fontId="16" numFmtId="0" xfId="0" applyFont="1"/>
    <xf borderId="0" fillId="0" fontId="10" numFmtId="3" xfId="0" applyAlignment="1" applyFont="1" applyNumberFormat="1">
      <alignment readingOrder="0"/>
    </xf>
    <xf quotePrefix="1" borderId="0" fillId="0" fontId="10" numFmtId="0" xfId="0" applyFont="1"/>
    <xf borderId="0" fillId="0" fontId="4" numFmtId="9" xfId="0" applyFont="1" applyNumberFormat="1"/>
    <xf borderId="0" fillId="0" fontId="17" numFmtId="0" xfId="0" applyFont="1"/>
    <xf borderId="0" fillId="0" fontId="4" numFmtId="0" xfId="0" applyAlignment="1" applyFont="1">
      <alignment horizontal="right"/>
    </xf>
    <xf borderId="0" fillId="0" fontId="18" numFmtId="0" xfId="0" applyFont="1"/>
    <xf borderId="0" fillId="0" fontId="19" numFmtId="0" xfId="0" applyFont="1"/>
    <xf borderId="0" fillId="0" fontId="6" numFmtId="0" xfId="0" applyAlignment="1" applyFont="1">
      <alignment horizontal="left" readingOrder="0"/>
    </xf>
    <xf borderId="0" fillId="0" fontId="8" numFmtId="3" xfId="0" applyFont="1" applyNumberFormat="1"/>
    <xf borderId="0" fillId="0" fontId="3" numFmtId="0" xfId="0" applyAlignment="1" applyFont="1">
      <alignment horizontal="right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readingOrder="0"/>
    </xf>
    <xf borderId="0" fillId="0" fontId="6" numFmtId="3" xfId="0" applyFont="1" applyNumberFormat="1"/>
    <xf borderId="0" fillId="0" fontId="6" numFmtId="0" xfId="0" applyAlignment="1" applyFont="1">
      <alignment horizontal="right"/>
    </xf>
    <xf borderId="0" fillId="0" fontId="6" numFmtId="0" xfId="0" applyAlignment="1" applyFont="1">
      <alignment horizontal="right" readingOrder="0"/>
    </xf>
    <xf borderId="0" fillId="0" fontId="10" numFmtId="0" xfId="0" applyAlignment="1" applyFont="1">
      <alignment horizontal="left"/>
    </xf>
    <xf borderId="0" fillId="0" fontId="8" numFmtId="0" xfId="0" applyAlignment="1" applyFont="1">
      <alignment horizontal="right"/>
    </xf>
    <xf borderId="0" fillId="0" fontId="23" numFmtId="0" xfId="0" applyFont="1"/>
    <xf borderId="0" fillId="0" fontId="23" numFmtId="0" xfId="0" applyAlignment="1" applyFont="1">
      <alignment readingOrder="0"/>
    </xf>
    <xf borderId="0" fillId="0" fontId="1" numFmtId="3" xfId="0" applyFont="1" applyNumberFormat="1"/>
    <xf borderId="0" fillId="0" fontId="10" numFmtId="10" xfId="0" applyFont="1" applyNumberFormat="1"/>
    <xf borderId="0" fillId="0" fontId="24" numFmtId="3" xfId="0" applyAlignment="1" applyFont="1" applyNumberFormat="1">
      <alignment horizontal="right" shrinkToFit="0" vertical="bottom" wrapText="0"/>
    </xf>
    <xf borderId="0" fillId="0" fontId="6" numFmtId="3" xfId="0" applyAlignment="1" applyFont="1" applyNumberFormat="1">
      <alignment horizontal="right" shrinkToFit="0" vertical="bottom" wrapText="0"/>
    </xf>
    <xf borderId="0" fillId="0" fontId="15" numFmtId="3" xfId="0" applyFont="1" applyNumberFormat="1"/>
    <xf borderId="0" fillId="0" fontId="16" numFmtId="3" xfId="0" applyFont="1" applyNumberFormat="1"/>
    <xf borderId="0" fillId="0" fontId="11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4" numFmtId="0" xfId="0" applyAlignment="1" applyFont="1">
      <alignment readingOrder="0"/>
    </xf>
    <xf borderId="0" fillId="0" fontId="8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50</xdr:row>
      <xdr:rowOff>95250</xdr:rowOff>
    </xdr:from>
    <xdr:ext cx="4600575" cy="403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37.44"/>
    <col customWidth="1" min="3" max="3" width="43.78"/>
    <col customWidth="1" min="4" max="4" width="48.67"/>
    <col customWidth="1" min="5" max="5" width="26.22"/>
    <col customWidth="1" min="6" max="6" width="3.67"/>
    <col customWidth="1" min="7" max="7" width="37.44"/>
    <col customWidth="1" min="8" max="8" width="43.78"/>
    <col customWidth="1" min="9" max="28" width="11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2"/>
      <c r="B2" s="3" t="s">
        <v>0</v>
      </c>
      <c r="C2" s="3" t="s">
        <v>1</v>
      </c>
    </row>
    <row r="3" ht="15.75" customHeight="1">
      <c r="A3" s="4"/>
      <c r="B3" s="4" t="s">
        <v>2</v>
      </c>
      <c r="C3" s="4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5.75" customHeight="1">
      <c r="A4" s="4"/>
      <c r="B4" s="4" t="s">
        <v>4</v>
      </c>
      <c r="C4" s="4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5.75" customHeight="1">
      <c r="A5" s="4"/>
      <c r="B5" s="4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5.75" customHeight="1">
      <c r="A6" s="6">
        <v>1.0</v>
      </c>
      <c r="B6" s="7" t="s">
        <v>6</v>
      </c>
      <c r="C6" s="8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ht="15.75" customHeight="1">
      <c r="A7" s="4"/>
      <c r="B7" s="4" t="s">
        <v>7</v>
      </c>
      <c r="C7" s="11" t="s">
        <v>8</v>
      </c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5.75" customHeight="1">
      <c r="A8" s="4"/>
      <c r="B8" s="4" t="s">
        <v>9</v>
      </c>
      <c r="C8" s="4" t="s">
        <v>10</v>
      </c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5.75" customHeight="1">
      <c r="A9" s="4"/>
      <c r="B9" s="4" t="s">
        <v>11</v>
      </c>
      <c r="C9" s="4" t="s">
        <v>12</v>
      </c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5.75" customHeight="1">
      <c r="A10" s="4"/>
      <c r="B10" s="4" t="s">
        <v>13</v>
      </c>
      <c r="C10" s="11" t="s">
        <v>14</v>
      </c>
      <c r="D10" s="4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5.75" customHeight="1">
      <c r="A11" s="4"/>
      <c r="B11" s="4" t="s">
        <v>15</v>
      </c>
      <c r="C11" s="11" t="s">
        <v>16</v>
      </c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5.75" customHeight="1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5.75" customHeight="1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5.75" customHeight="1">
      <c r="A14" s="12"/>
      <c r="B14" s="7" t="s">
        <v>7</v>
      </c>
      <c r="C14" s="8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15.75" customHeight="1">
      <c r="A15" s="12"/>
      <c r="B15" s="7" t="s">
        <v>17</v>
      </c>
      <c r="C15" s="8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15.75" customHeight="1">
      <c r="A16" s="4"/>
      <c r="B16" s="11" t="s">
        <v>18</v>
      </c>
      <c r="C16" s="11" t="s">
        <v>10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5.75" customHeight="1">
      <c r="A17" s="4"/>
      <c r="B17" s="11" t="s">
        <v>19</v>
      </c>
      <c r="C17" s="11" t="s">
        <v>20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5.75" customHeight="1">
      <c r="A18" s="4"/>
      <c r="B18" s="11" t="s">
        <v>21</v>
      </c>
      <c r="C18" s="11" t="s">
        <v>22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6.5" customHeight="1">
      <c r="A19" s="4"/>
      <c r="B19" s="11" t="s">
        <v>23</v>
      </c>
      <c r="C19" s="11" t="s">
        <v>24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5.75" customHeight="1">
      <c r="A20" s="4"/>
      <c r="B20" s="11" t="s">
        <v>25</v>
      </c>
      <c r="C20" s="11" t="s">
        <v>26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5.75" customHeight="1">
      <c r="A21" s="4"/>
      <c r="B21" s="11" t="s">
        <v>27</v>
      </c>
      <c r="C21" s="11" t="s">
        <v>28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5.75" customHeight="1">
      <c r="A22" s="4"/>
      <c r="B22" s="13"/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5.75" customHeight="1">
      <c r="A23" s="12"/>
      <c r="B23" s="7" t="s">
        <v>29</v>
      </c>
      <c r="C23" s="8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15.75" customHeight="1">
      <c r="A24" s="4"/>
      <c r="B24" s="11" t="s">
        <v>18</v>
      </c>
      <c r="C24" s="11" t="s">
        <v>30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5.75" customHeight="1">
      <c r="A25" s="4"/>
      <c r="B25" s="11" t="s">
        <v>31</v>
      </c>
      <c r="C25" s="11" t="s">
        <v>32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5.75" customHeight="1">
      <c r="A26" s="4"/>
      <c r="B26" s="11" t="s">
        <v>33</v>
      </c>
      <c r="C26" s="11" t="s">
        <v>34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5.75" customHeight="1">
      <c r="A27" s="4"/>
      <c r="B27" s="11" t="s">
        <v>23</v>
      </c>
      <c r="C27" s="11" t="s">
        <v>35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5.75" customHeight="1">
      <c r="A28" s="4"/>
      <c r="B28" s="11" t="s">
        <v>36</v>
      </c>
      <c r="C28" s="11" t="s">
        <v>37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5.75" customHeight="1">
      <c r="A29" s="4"/>
      <c r="B29" s="11" t="s">
        <v>38</v>
      </c>
      <c r="C29" s="11" t="s">
        <v>39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5.75" customHeight="1">
      <c r="A30" s="4"/>
      <c r="B30" s="13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5.75" customHeight="1">
      <c r="A31" s="12"/>
      <c r="B31" s="7" t="s">
        <v>40</v>
      </c>
      <c r="C31" s="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ht="15.75" customHeight="1">
      <c r="A32" s="4"/>
      <c r="B32" s="11" t="s">
        <v>18</v>
      </c>
      <c r="C32" s="11" t="s">
        <v>30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5.75" customHeight="1">
      <c r="A33" s="4"/>
      <c r="B33" s="11" t="s">
        <v>31</v>
      </c>
      <c r="C33" s="11" t="s">
        <v>32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5.75" customHeight="1">
      <c r="A34" s="4"/>
      <c r="B34" s="11" t="s">
        <v>33</v>
      </c>
      <c r="C34" s="11" t="s">
        <v>41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5.75" customHeight="1">
      <c r="A35" s="4"/>
      <c r="B35" s="11" t="s">
        <v>23</v>
      </c>
      <c r="C35" s="11" t="s">
        <v>42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5.75" customHeight="1">
      <c r="A36" s="4"/>
      <c r="B36" s="11" t="s">
        <v>36</v>
      </c>
      <c r="C36" s="11" t="s">
        <v>37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5.75" customHeight="1">
      <c r="A37" s="4"/>
      <c r="B37" s="11" t="s">
        <v>38</v>
      </c>
      <c r="C37" s="11" t="s">
        <v>43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5.75" customHeight="1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5.75" customHeight="1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5.75" customHeight="1">
      <c r="A40" s="6">
        <v>2.0</v>
      </c>
      <c r="B40" s="7" t="s">
        <v>44</v>
      </c>
      <c r="C40" s="6" t="s">
        <v>45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15.75" customHeight="1">
      <c r="A41" s="4"/>
      <c r="B41" s="11" t="s">
        <v>46</v>
      </c>
      <c r="C41" s="11" t="s">
        <v>47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5.75" customHeight="1">
      <c r="A42" s="4"/>
      <c r="B42" s="4" t="s">
        <v>48</v>
      </c>
      <c r="C42" s="11" t="s">
        <v>49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5.75" customHeight="1">
      <c r="A43" s="4"/>
      <c r="B43" s="4" t="s">
        <v>50</v>
      </c>
      <c r="C43" s="4" t="s">
        <v>51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5.75" customHeight="1">
      <c r="A44" s="4"/>
      <c r="B44" s="4" t="s">
        <v>52</v>
      </c>
      <c r="C44" s="14" t="s">
        <v>53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5.75" customHeight="1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5.75" customHeight="1">
      <c r="A46" s="1"/>
      <c r="B46" s="1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5.75" customHeight="1">
      <c r="A47" s="15">
        <v>3.0</v>
      </c>
      <c r="B47" s="7" t="s">
        <v>54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ht="15.75" customHeight="1">
      <c r="A48" s="10"/>
      <c r="B48" s="9" t="s">
        <v>55</v>
      </c>
      <c r="C48" s="9" t="s">
        <v>56</v>
      </c>
      <c r="D48" s="9" t="s">
        <v>57</v>
      </c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ht="15.75" customHeight="1">
      <c r="A49" s="1"/>
      <c r="B49" s="4" t="s">
        <v>58</v>
      </c>
      <c r="C49" s="4" t="s">
        <v>59</v>
      </c>
      <c r="D49" s="4" t="s">
        <v>60</v>
      </c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5.75" customHeight="1">
      <c r="A50" s="1"/>
      <c r="B50" s="4" t="s">
        <v>61</v>
      </c>
      <c r="C50" s="4" t="s">
        <v>62</v>
      </c>
      <c r="D50" s="4" t="s">
        <v>63</v>
      </c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5.75" customHeight="1">
      <c r="A51" s="1"/>
      <c r="B51" s="4" t="s">
        <v>64</v>
      </c>
      <c r="C51" s="4" t="s">
        <v>65</v>
      </c>
      <c r="D51" s="4" t="s">
        <v>66</v>
      </c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5.75" customHeight="1">
      <c r="A52" s="1"/>
      <c r="B52" s="4" t="s">
        <v>67</v>
      </c>
      <c r="C52" s="4" t="s">
        <v>68</v>
      </c>
      <c r="D52" s="4" t="s">
        <v>69</v>
      </c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5.75" customHeight="1">
      <c r="A53" s="1"/>
      <c r="B53" s="4" t="s">
        <v>70</v>
      </c>
      <c r="C53" s="4" t="s">
        <v>71</v>
      </c>
      <c r="D53" s="4" t="s">
        <v>72</v>
      </c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5.75" customHeight="1">
      <c r="A54" s="1"/>
      <c r="B54" s="4" t="s">
        <v>73</v>
      </c>
      <c r="C54" s="4" t="s">
        <v>74</v>
      </c>
      <c r="D54" s="4" t="s">
        <v>75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5.75" customHeight="1">
      <c r="A55" s="1"/>
      <c r="B55" s="4" t="s">
        <v>76</v>
      </c>
      <c r="C55" s="4" t="s">
        <v>77</v>
      </c>
      <c r="D55" s="4" t="s">
        <v>78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5.75" customHeight="1">
      <c r="A56" s="1"/>
      <c r="B56" s="4" t="s">
        <v>79</v>
      </c>
      <c r="C56" s="4" t="s">
        <v>80</v>
      </c>
      <c r="D56" s="4" t="s">
        <v>81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5.75" customHeight="1">
      <c r="A57" s="1"/>
      <c r="B57" s="4" t="s">
        <v>82</v>
      </c>
      <c r="C57" s="4" t="s">
        <v>83</v>
      </c>
      <c r="D57" s="4" t="s">
        <v>84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5.75" customHeight="1">
      <c r="A58" s="1"/>
      <c r="B58" s="4" t="s">
        <v>85</v>
      </c>
      <c r="C58" s="4" t="s">
        <v>86</v>
      </c>
      <c r="D58" s="4" t="s">
        <v>87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5.75" customHeight="1">
      <c r="A59" s="1"/>
      <c r="B59" s="4" t="s">
        <v>88</v>
      </c>
      <c r="C59" s="4" t="s">
        <v>89</v>
      </c>
      <c r="D59" s="4" t="s">
        <v>90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5.75" customHeight="1">
      <c r="A60" s="1"/>
      <c r="B60" s="4" t="s">
        <v>91</v>
      </c>
      <c r="C60" s="4" t="s">
        <v>77</v>
      </c>
      <c r="D60" s="4" t="s">
        <v>92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5.75" customHeight="1">
      <c r="A61" s="1"/>
      <c r="B61" s="4" t="s">
        <v>93</v>
      </c>
      <c r="C61" s="4" t="s">
        <v>94</v>
      </c>
      <c r="D61" s="4" t="s">
        <v>95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5.75" customHeight="1">
      <c r="A62" s="1"/>
      <c r="B62" s="4" t="s">
        <v>96</v>
      </c>
      <c r="C62" s="4" t="s">
        <v>97</v>
      </c>
      <c r="D62" s="4" t="s">
        <v>98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5.75" customHeight="1">
      <c r="A63" s="1"/>
      <c r="B63" s="4" t="s">
        <v>99</v>
      </c>
      <c r="C63" s="4" t="s">
        <v>100</v>
      </c>
      <c r="D63" s="4" t="s">
        <v>101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5.75" customHeight="1">
      <c r="A64" s="1"/>
      <c r="B64" s="4" t="s">
        <v>102</v>
      </c>
      <c r="C64" s="4" t="s">
        <v>103</v>
      </c>
      <c r="D64" s="4" t="s">
        <v>104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5.75" customHeight="1">
      <c r="A65" s="1"/>
      <c r="B65" s="4" t="s">
        <v>105</v>
      </c>
      <c r="C65" s="4" t="s">
        <v>106</v>
      </c>
      <c r="D65" s="4" t="s">
        <v>107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5.75" customHeight="1">
      <c r="A66" s="1"/>
      <c r="B66" s="4" t="s">
        <v>108</v>
      </c>
      <c r="C66" s="4" t="s">
        <v>109</v>
      </c>
      <c r="D66" s="4" t="s">
        <v>110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5.75" customHeight="1">
      <c r="A67" s="1"/>
      <c r="B67" s="16" t="s">
        <v>111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5.75" customHeight="1">
      <c r="A69" s="1"/>
      <c r="B69" s="4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5.75" customHeight="1">
      <c r="A70" s="15">
        <v>5.0</v>
      </c>
      <c r="B70" s="7" t="s">
        <v>112</v>
      </c>
      <c r="C70" s="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ht="15.75" customHeight="1">
      <c r="A71" s="1"/>
      <c r="B71" s="4" t="s">
        <v>113</v>
      </c>
      <c r="C71" s="5">
        <v>0.21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5.75" customHeight="1">
      <c r="A72" s="1"/>
      <c r="B72" s="4" t="s">
        <v>114</v>
      </c>
      <c r="C72" s="5">
        <v>0.065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5.75" customHeight="1">
      <c r="A73" s="1"/>
      <c r="B73" s="4" t="s">
        <v>115</v>
      </c>
      <c r="C73" s="5">
        <v>0.03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5.75" customHeight="1">
      <c r="A74" s="1"/>
      <c r="B74" s="4" t="s">
        <v>116</v>
      </c>
      <c r="C74" s="5">
        <v>0.06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5.75" customHeight="1">
      <c r="A75" s="1"/>
      <c r="B75" s="4" t="s">
        <v>117</v>
      </c>
      <c r="C75" s="5">
        <v>0.045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5.75" customHeight="1">
      <c r="A76" s="1"/>
      <c r="B76" s="4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5.75" customHeight="1">
      <c r="A77" s="1"/>
      <c r="B77" s="4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5.75" customHeight="1">
      <c r="A78" s="10"/>
      <c r="B78" s="17" t="s">
        <v>118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ht="15.75" customHeight="1">
      <c r="A79" s="10"/>
      <c r="B79" s="18" t="s">
        <v>119</v>
      </c>
      <c r="C79" s="18" t="s">
        <v>120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ht="15.75" customHeight="1">
      <c r="A80" s="1"/>
      <c r="B80" s="1" t="s">
        <v>121</v>
      </c>
      <c r="C80" s="19">
        <v>2.8E8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5.75" customHeight="1">
      <c r="A81" s="1"/>
      <c r="B81" s="1" t="s">
        <v>122</v>
      </c>
      <c r="C81" s="20">
        <v>0.34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5.75" customHeight="1">
      <c r="A82" s="1"/>
      <c r="B82" s="1" t="s">
        <v>123</v>
      </c>
      <c r="C82" s="20">
        <v>0.18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5.75" customHeight="1">
      <c r="A83" s="1"/>
      <c r="B83" s="1" t="s">
        <v>124</v>
      </c>
      <c r="C83" s="19">
        <v>3.6E7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5.75" customHeight="1">
      <c r="A84" s="1"/>
      <c r="B84" s="1" t="s">
        <v>125</v>
      </c>
      <c r="C84" s="21">
        <v>1.4E8</v>
      </c>
      <c r="D84" s="2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5.75" customHeight="1">
      <c r="A85" s="1"/>
      <c r="B85" s="1" t="s">
        <v>126</v>
      </c>
      <c r="C85" s="19">
        <v>6.3E7</v>
      </c>
      <c r="D85" s="2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5.75" customHeight="1">
      <c r="A86" s="1"/>
      <c r="B86" s="1" t="s">
        <v>127</v>
      </c>
      <c r="C86" s="23">
        <v>0.0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5.75" customHeight="1">
      <c r="A87" s="1"/>
      <c r="B87" s="1" t="s">
        <v>128</v>
      </c>
      <c r="C87" s="19">
        <f>'10 Deferred Tax Rollforward'!C11</f>
        <v>4539417.143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5.75" customHeight="1">
      <c r="A88" s="1"/>
      <c r="B88" s="1" t="s">
        <v>129</v>
      </c>
      <c r="C88" s="19">
        <v>6900000.0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5.75" customHeight="1">
      <c r="A91" s="1"/>
      <c r="B91" s="24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5.75" customHeight="1">
      <c r="A92" s="1"/>
      <c r="B92" s="4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36.89"/>
    <col customWidth="1" min="3" max="4" width="15.67"/>
  </cols>
  <sheetData>
    <row r="1">
      <c r="A1" s="24"/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7"/>
      <c r="B2" s="17" t="s">
        <v>130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9"/>
      <c r="B3" s="9" t="s">
        <v>131</v>
      </c>
      <c r="C3" s="9" t="s">
        <v>132</v>
      </c>
      <c r="D3" s="9" t="s">
        <v>133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4"/>
      <c r="B4" s="4" t="s">
        <v>134</v>
      </c>
      <c r="C4" s="4"/>
      <c r="D4" s="19">
        <v>2.485E8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4"/>
      <c r="B5" s="4" t="s">
        <v>135</v>
      </c>
      <c r="C5" s="19">
        <v>3500000.0</v>
      </c>
      <c r="D5" s="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4"/>
      <c r="B6" s="4" t="s">
        <v>136</v>
      </c>
      <c r="C6" s="4"/>
      <c r="D6" s="19">
        <f>D4-C5</f>
        <v>245000000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4"/>
      <c r="B7" s="4" t="s">
        <v>137</v>
      </c>
      <c r="C7" s="19">
        <v>1.582E8</v>
      </c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4"/>
      <c r="B8" s="4" t="s">
        <v>138</v>
      </c>
      <c r="C8" s="4"/>
      <c r="D8" s="19">
        <f>D6-C7</f>
        <v>86800000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4"/>
      <c r="B9" s="4" t="s">
        <v>139</v>
      </c>
      <c r="C9" s="19">
        <v>1.84E7</v>
      </c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4"/>
      <c r="B10" s="4" t="s">
        <v>140</v>
      </c>
      <c r="C10" s="19">
        <v>1.49E7</v>
      </c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4"/>
      <c r="B11" s="4" t="s">
        <v>141</v>
      </c>
      <c r="C11" s="19">
        <v>3200000.0</v>
      </c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4"/>
      <c r="B12" s="4" t="s">
        <v>142</v>
      </c>
      <c r="C12" s="19">
        <f>'1.4 Fixed Asset Summary'!E18</f>
        <v>6000000</v>
      </c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"/>
      <c r="B13" s="4" t="s">
        <v>143</v>
      </c>
      <c r="C13" s="19">
        <f>sum(C9:C12)</f>
        <v>42500000</v>
      </c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"/>
      <c r="B14" s="4" t="s">
        <v>144</v>
      </c>
      <c r="C14" s="4"/>
      <c r="D14" s="19">
        <f>D8-C13</f>
        <v>44300000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"/>
      <c r="B15" s="4" t="s">
        <v>145</v>
      </c>
      <c r="C15" s="19">
        <v>6900000.0</v>
      </c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"/>
      <c r="B16" s="4" t="s">
        <v>146</v>
      </c>
      <c r="C16" s="4"/>
      <c r="D16" s="19">
        <v>-800000.0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"/>
      <c r="B17" s="4" t="s">
        <v>147</v>
      </c>
      <c r="C17" s="4"/>
      <c r="D17" s="19">
        <f>D14-C15+D16</f>
        <v>36600000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7"/>
      <c r="B20" s="17" t="s">
        <v>148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9"/>
      <c r="B21" s="9" t="s">
        <v>131</v>
      </c>
      <c r="C21" s="9" t="s">
        <v>132</v>
      </c>
      <c r="D21" s="9" t="s">
        <v>133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4"/>
      <c r="B22" s="4" t="s">
        <v>134</v>
      </c>
      <c r="C22" s="4"/>
      <c r="D22" s="19">
        <v>2.662E8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4"/>
      <c r="B23" s="4" t="s">
        <v>135</v>
      </c>
      <c r="C23" s="19">
        <v>4200000.0</v>
      </c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4"/>
      <c r="B24" s="4" t="s">
        <v>136</v>
      </c>
      <c r="C24" s="4"/>
      <c r="D24" s="19">
        <f>D22-C23</f>
        <v>262000000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4"/>
      <c r="B25" s="4" t="s">
        <v>137</v>
      </c>
      <c r="C25" s="19">
        <v>1.689E8</v>
      </c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4"/>
      <c r="B26" s="4" t="s">
        <v>138</v>
      </c>
      <c r="C26" s="4"/>
      <c r="D26" s="19">
        <f>D24-C25</f>
        <v>93100000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"/>
      <c r="B27" s="4" t="s">
        <v>139</v>
      </c>
      <c r="C27" s="19">
        <v>1.91E7</v>
      </c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4"/>
      <c r="B28" s="4" t="s">
        <v>140</v>
      </c>
      <c r="C28" s="19">
        <v>1.56E7</v>
      </c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4"/>
      <c r="B29" s="4" t="s">
        <v>141</v>
      </c>
      <c r="C29" s="19">
        <v>3400000.0</v>
      </c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4"/>
      <c r="B30" s="4" t="s">
        <v>142</v>
      </c>
      <c r="C30" s="19">
        <f>'1.4 Fixed Asset Summary'!E19</f>
        <v>14414285.71</v>
      </c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4"/>
      <c r="B31" s="4" t="s">
        <v>143</v>
      </c>
      <c r="C31" s="19">
        <f>sum(C27:C30)</f>
        <v>52514285.71</v>
      </c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4"/>
      <c r="B32" s="4" t="s">
        <v>144</v>
      </c>
      <c r="C32" s="4"/>
      <c r="D32" s="19">
        <f>D26-C31</f>
        <v>40585714.29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4"/>
      <c r="B33" s="4" t="s">
        <v>145</v>
      </c>
      <c r="C33" s="19">
        <v>7300000.0</v>
      </c>
      <c r="D33" s="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4"/>
      <c r="B34" s="4" t="s">
        <v>146</v>
      </c>
      <c r="C34" s="4"/>
      <c r="D34" s="19">
        <v>-1500000.0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4"/>
      <c r="B35" s="4" t="s">
        <v>147</v>
      </c>
      <c r="C35" s="4"/>
      <c r="D35" s="19">
        <f>D32-C33+D34</f>
        <v>31785714.29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7"/>
      <c r="B38" s="17" t="s">
        <v>149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9"/>
      <c r="B39" s="9" t="s">
        <v>131</v>
      </c>
      <c r="C39" s="9" t="s">
        <v>132</v>
      </c>
      <c r="D39" s="9" t="s">
        <v>133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4"/>
      <c r="B40" s="4" t="s">
        <v>134</v>
      </c>
      <c r="C40" s="4"/>
      <c r="D40" s="19">
        <v>2.843E8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4"/>
      <c r="B41" s="4" t="s">
        <v>135</v>
      </c>
      <c r="C41" s="19">
        <v>4300000.0</v>
      </c>
      <c r="D41" s="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4"/>
      <c r="B42" s="4" t="s">
        <v>136</v>
      </c>
      <c r="C42" s="4"/>
      <c r="D42" s="19">
        <f>D40-C41</f>
        <v>280000000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4"/>
      <c r="B43" s="4" t="s">
        <v>137</v>
      </c>
      <c r="C43" s="19">
        <v>1.82E8</v>
      </c>
      <c r="D43" s="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4"/>
      <c r="B44" s="4" t="s">
        <v>138</v>
      </c>
      <c r="C44" s="4"/>
      <c r="D44" s="19">
        <f>D42-C43</f>
        <v>98000000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4"/>
      <c r="B45" s="4" t="s">
        <v>139</v>
      </c>
      <c r="C45" s="19">
        <v>2.02E7</v>
      </c>
      <c r="D45" s="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4"/>
      <c r="B46" s="4" t="s">
        <v>140</v>
      </c>
      <c r="C46" s="19">
        <v>1.63E7</v>
      </c>
      <c r="D46" s="4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4"/>
      <c r="B47" s="4" t="s">
        <v>141</v>
      </c>
      <c r="C47" s="19">
        <v>3600000.0</v>
      </c>
      <c r="D47" s="4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4"/>
      <c r="B48" s="4" t="s">
        <v>142</v>
      </c>
      <c r="C48" s="19">
        <f>'1.4 Fixed Asset Summary'!E20</f>
        <v>16914285.71</v>
      </c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4"/>
      <c r="B49" s="4" t="s">
        <v>143</v>
      </c>
      <c r="C49" s="19">
        <f>sum(C45:C48)</f>
        <v>57014285.71</v>
      </c>
      <c r="D49" s="4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4"/>
      <c r="B50" s="4" t="s">
        <v>144</v>
      </c>
      <c r="C50" s="4"/>
      <c r="D50" s="19">
        <f>D44-C49</f>
        <v>40985714.29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4"/>
      <c r="B51" s="4" t="s">
        <v>145</v>
      </c>
      <c r="C51" s="19">
        <v>9800000.0</v>
      </c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4"/>
      <c r="B52" s="4" t="s">
        <v>146</v>
      </c>
      <c r="C52" s="4"/>
      <c r="D52" s="19">
        <v>-2100000.0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4"/>
      <c r="B53" s="4" t="s">
        <v>147</v>
      </c>
      <c r="C53" s="4"/>
      <c r="D53" s="19">
        <f>D50-C51+D52</f>
        <v>29085714.29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46.11"/>
    <col customWidth="1" min="3" max="3" width="14.22"/>
  </cols>
  <sheetData>
    <row r="1">
      <c r="A1" s="24"/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/>
      <c r="B2" s="3" t="s">
        <v>150</v>
      </c>
    </row>
    <row r="3">
      <c r="A3" s="9"/>
      <c r="B3" s="9" t="s">
        <v>119</v>
      </c>
      <c r="C3" s="9" t="s">
        <v>120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4"/>
      <c r="B4" s="4" t="s">
        <v>147</v>
      </c>
      <c r="C4" s="19">
        <f>'1.1 Trial Balance Summary'!D17</f>
        <v>36600000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4"/>
      <c r="B5" s="4" t="s">
        <v>151</v>
      </c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4"/>
      <c r="B6" s="4" t="s">
        <v>152</v>
      </c>
      <c r="C6" s="25">
        <v>-420000.0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4"/>
      <c r="B7" s="4" t="s">
        <v>153</v>
      </c>
      <c r="C7" s="25">
        <v>-180000.0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4"/>
      <c r="B8" s="4" t="s">
        <v>154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1"/>
      <c r="B9" s="26" t="s">
        <v>155</v>
      </c>
      <c r="C9" s="19">
        <f>'3 Revenue Timing Adjustments '!E10</f>
        <v>12000000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4"/>
      <c r="B10" s="4" t="s">
        <v>156</v>
      </c>
      <c r="C10" s="19">
        <f>'4 Depreciation Adjustment'!E10</f>
        <v>-1800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4"/>
      <c r="B11" s="4" t="s">
        <v>157</v>
      </c>
      <c r="C11" s="19">
        <f>sum(C4:C10)</f>
        <v>47998200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7"/>
      <c r="B14" s="17" t="s">
        <v>158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9"/>
      <c r="B15" s="9" t="s">
        <v>119</v>
      </c>
      <c r="C15" s="9" t="s">
        <v>120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4"/>
      <c r="B16" s="4" t="s">
        <v>147</v>
      </c>
      <c r="C16" s="19">
        <f>'1.1 Trial Balance Summary'!D35</f>
        <v>31785714.29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"/>
      <c r="B17" s="4" t="s">
        <v>151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4"/>
      <c r="B18" s="4" t="s">
        <v>152</v>
      </c>
      <c r="C18" s="25">
        <v>-460000.0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"/>
      <c r="B19" s="4" t="s">
        <v>153</v>
      </c>
      <c r="C19" s="25">
        <v>-200000.0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4"/>
      <c r="B20" s="4" t="s">
        <v>154</v>
      </c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1"/>
      <c r="B21" s="26" t="s">
        <v>155</v>
      </c>
      <c r="C21" s="19">
        <f>'3 Revenue Timing Adjustments '!E11</f>
        <v>9500000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4"/>
      <c r="B22" s="4" t="s">
        <v>156</v>
      </c>
      <c r="C22" s="19">
        <f>'4 Depreciation Adjustment'!E11</f>
        <v>-4286614.286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4"/>
      <c r="B23" s="4" t="s">
        <v>157</v>
      </c>
      <c r="C23" s="19">
        <f>sum(C16:C22)</f>
        <v>36339100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7"/>
      <c r="B26" s="17" t="s">
        <v>159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9"/>
      <c r="B27" s="9" t="s">
        <v>119</v>
      </c>
      <c r="C27" s="9" t="s">
        <v>120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4"/>
      <c r="B28" s="4" t="s">
        <v>147</v>
      </c>
      <c r="C28" s="19">
        <f>'1.1 Trial Balance Summary'!D53</f>
        <v>29085714.29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4"/>
      <c r="B29" s="4" t="s">
        <v>151</v>
      </c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4"/>
      <c r="B30" s="4" t="s">
        <v>152</v>
      </c>
      <c r="C30" s="25">
        <v>-480000.0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4"/>
      <c r="B31" s="4" t="s">
        <v>153</v>
      </c>
      <c r="C31" s="25">
        <v>-210000.0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4"/>
      <c r="B32" s="4" t="s">
        <v>154</v>
      </c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1"/>
      <c r="B33" s="26" t="s">
        <v>155</v>
      </c>
      <c r="C33" s="19">
        <f>'3 Revenue Timing Adjustments '!E12</f>
        <v>6000000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4"/>
      <c r="B34" s="4" t="s">
        <v>156</v>
      </c>
      <c r="C34" s="19">
        <f>'4 Depreciation Adjustment'!E12</f>
        <v>-6704614.286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4"/>
      <c r="B35" s="4" t="s">
        <v>157</v>
      </c>
      <c r="C35" s="19">
        <f>sum(C28:C34)</f>
        <v>27691100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37.22"/>
    <col customWidth="1" min="3" max="3" width="14.22"/>
  </cols>
  <sheetData>
    <row r="1">
      <c r="A1" s="3"/>
      <c r="B1" s="3"/>
    </row>
    <row r="2">
      <c r="A2" s="3"/>
      <c r="B2" s="3" t="s">
        <v>160</v>
      </c>
    </row>
    <row r="3">
      <c r="A3" s="9"/>
      <c r="B3" s="9" t="s">
        <v>119</v>
      </c>
      <c r="C3" s="9" t="s">
        <v>120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4"/>
      <c r="B4" s="4" t="s">
        <v>157</v>
      </c>
      <c r="C4" s="19">
        <f>'1.2 BookTax Tie-out'!C11</f>
        <v>47998200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4"/>
      <c r="B5" s="4" t="s">
        <v>161</v>
      </c>
      <c r="C5" s="27">
        <f>'1 Control &amp; Assumptions'!C71</f>
        <v>0.21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4"/>
      <c r="B6" s="4" t="s">
        <v>162</v>
      </c>
      <c r="C6" s="19">
        <f>C4*C5</f>
        <v>10079622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4"/>
      <c r="B7" s="2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4"/>
      <c r="B8" s="2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7"/>
      <c r="B9" s="17" t="s">
        <v>163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9"/>
      <c r="B10" s="9" t="s">
        <v>119</v>
      </c>
      <c r="C10" s="9" t="s">
        <v>120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4"/>
      <c r="B11" s="4" t="s">
        <v>157</v>
      </c>
      <c r="C11" s="19">
        <f>'1.2 BookTax Tie-out'!C23</f>
        <v>36339100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4"/>
      <c r="B12" s="4" t="s">
        <v>161</v>
      </c>
      <c r="C12" s="27">
        <f>'1 Control &amp; Assumptions'!C71</f>
        <v>0.21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"/>
      <c r="B13" s="4" t="s">
        <v>162</v>
      </c>
      <c r="C13" s="19">
        <f>C11*C12</f>
        <v>7631211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4"/>
      <c r="B14" s="2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4"/>
      <c r="B15" s="2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/>
      <c r="B16" s="17" t="s">
        <v>164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9"/>
      <c r="B17" s="9" t="s">
        <v>119</v>
      </c>
      <c r="C17" s="9" t="s">
        <v>120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4"/>
      <c r="B18" s="4" t="s">
        <v>157</v>
      </c>
      <c r="C18" s="19">
        <f>'1.2 BookTax Tie-out'!C35</f>
        <v>27691100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"/>
      <c r="B19" s="4" t="s">
        <v>161</v>
      </c>
      <c r="C19" s="27">
        <f>'1 Control &amp; Assumptions'!C71</f>
        <v>0.21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4"/>
      <c r="B20" s="4" t="s">
        <v>162</v>
      </c>
      <c r="C20" s="19">
        <f>C18*C19</f>
        <v>5815131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34.11"/>
    <col customWidth="1" min="3" max="3" width="27.22"/>
    <col customWidth="1" min="4" max="4" width="20.11"/>
    <col customWidth="1" min="5" max="5" width="17.22"/>
    <col customWidth="1" min="6" max="6" width="18.11"/>
  </cols>
  <sheetData>
    <row r="1">
      <c r="A1" s="24"/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/>
      <c r="B2" s="3" t="s">
        <v>165</v>
      </c>
    </row>
    <row r="3">
      <c r="A3" s="9"/>
      <c r="B3" s="9" t="s">
        <v>166</v>
      </c>
      <c r="C3" s="9" t="s">
        <v>167</v>
      </c>
      <c r="D3" s="28" t="s">
        <v>168</v>
      </c>
      <c r="E3" s="9" t="s">
        <v>169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4"/>
      <c r="B4" s="4" t="s">
        <v>170</v>
      </c>
      <c r="C4" s="29" t="s">
        <v>171</v>
      </c>
      <c r="D4" s="30">
        <v>2021.0</v>
      </c>
      <c r="E4" s="19">
        <v>4.2E7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4"/>
      <c r="B5" s="4" t="s">
        <v>172</v>
      </c>
      <c r="C5" s="29" t="s">
        <v>173</v>
      </c>
      <c r="D5" s="30">
        <v>2022.0</v>
      </c>
      <c r="E5" s="19">
        <v>2.85E7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4"/>
      <c r="B6" s="4" t="s">
        <v>174</v>
      </c>
      <c r="C6" s="29" t="s">
        <v>171</v>
      </c>
      <c r="D6" s="30">
        <v>2022.0</v>
      </c>
      <c r="E6" s="19">
        <v>1.9E7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4"/>
      <c r="B7" s="4" t="s">
        <v>175</v>
      </c>
      <c r="C7" s="29" t="s">
        <v>173</v>
      </c>
      <c r="D7" s="30">
        <v>2023.0</v>
      </c>
      <c r="E7" s="19">
        <v>1.25E7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4"/>
      <c r="B8" s="4" t="s">
        <v>176</v>
      </c>
      <c r="C8" s="4"/>
      <c r="E8" s="19">
        <v>1.02E8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1"/>
      <c r="B9" s="31" t="s">
        <v>177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7"/>
      <c r="B12" s="17" t="s">
        <v>178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4"/>
      <c r="B13" s="4" t="s">
        <v>179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"/>
      <c r="B14" s="11" t="s">
        <v>180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"/>
      <c r="B15" s="4" t="s">
        <v>181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9"/>
      <c r="B17" s="9" t="s">
        <v>182</v>
      </c>
      <c r="C17" s="9" t="s">
        <v>183</v>
      </c>
      <c r="D17" s="9" t="s">
        <v>184</v>
      </c>
      <c r="E17" s="9" t="s">
        <v>185</v>
      </c>
      <c r="F17" s="9" t="s">
        <v>186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4"/>
      <c r="B18" s="4">
        <v>2021.0</v>
      </c>
      <c r="C18" s="11">
        <v>0.0</v>
      </c>
      <c r="D18" s="19">
        <f>E4</f>
        <v>42000000</v>
      </c>
      <c r="E18" s="19">
        <f>E4/7</f>
        <v>6000000</v>
      </c>
      <c r="F18" s="19">
        <f t="shared" ref="F18:F20" si="1">C18+D18-E18</f>
        <v>36000000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"/>
      <c r="B19" s="4">
        <v>2022.0</v>
      </c>
      <c r="C19" s="19">
        <f t="shared" ref="C19:C20" si="2">F18</f>
        <v>36000000</v>
      </c>
      <c r="D19" s="19">
        <f>E5+E6</f>
        <v>47500000</v>
      </c>
      <c r="E19" s="19">
        <f>(E4/7)+(E5/5)+(E6/7)</f>
        <v>14414285.71</v>
      </c>
      <c r="F19" s="19">
        <f t="shared" si="1"/>
        <v>69085714.29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4"/>
      <c r="B20" s="4">
        <v>2023.0</v>
      </c>
      <c r="C20" s="19">
        <f t="shared" si="2"/>
        <v>69085714.29</v>
      </c>
      <c r="D20" s="19">
        <f>E7</f>
        <v>12500000</v>
      </c>
      <c r="E20" s="19">
        <f>(E4/7)+(E5/5)+(E6/7)+(E7/5)</f>
        <v>16914285.71</v>
      </c>
      <c r="F20" s="19">
        <f t="shared" si="1"/>
        <v>64671428.57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7"/>
      <c r="B23" s="7" t="s">
        <v>187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4"/>
      <c r="B24" s="4" t="s">
        <v>188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4"/>
      <c r="B25" s="4" t="s">
        <v>181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4"/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"/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4"/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4"/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9"/>
      <c r="B30" s="9" t="s">
        <v>182</v>
      </c>
      <c r="C30" s="9" t="s">
        <v>189</v>
      </c>
      <c r="D30" s="9" t="s">
        <v>190</v>
      </c>
      <c r="E30" s="9" t="s">
        <v>191</v>
      </c>
      <c r="F30" s="9" t="s">
        <v>192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4"/>
      <c r="B31" s="4">
        <v>2021.0</v>
      </c>
      <c r="C31" s="19">
        <f t="shared" ref="C31:C33" si="3">D18</f>
        <v>42000000</v>
      </c>
      <c r="D31" s="21">
        <v>0.0</v>
      </c>
      <c r="E31" s="21">
        <f>C31*0.1429</f>
        <v>6001800</v>
      </c>
      <c r="F31" s="19">
        <f t="shared" ref="F31:F33" si="4">D31+E31</f>
        <v>6001800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4"/>
      <c r="B32" s="4">
        <v>2022.0</v>
      </c>
      <c r="C32" s="19">
        <f t="shared" si="3"/>
        <v>47500000</v>
      </c>
      <c r="D32" s="21">
        <v>0.0</v>
      </c>
      <c r="E32" s="21">
        <f>(C31*0.2449)+((E5*0.2)+(E6*0.1429))</f>
        <v>18700900</v>
      </c>
      <c r="F32" s="19">
        <f t="shared" si="4"/>
        <v>18700900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4"/>
      <c r="B33" s="4">
        <v>2023.0</v>
      </c>
      <c r="C33" s="19">
        <f t="shared" si="3"/>
        <v>12500000</v>
      </c>
      <c r="D33" s="21">
        <v>0.0</v>
      </c>
      <c r="E33" s="21">
        <f>(C31*0.1749)+((E5*0.32)+(E6*0.2449))+(E7*0.2)</f>
        <v>23618900</v>
      </c>
      <c r="F33" s="19">
        <f t="shared" si="4"/>
        <v>23618900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7"/>
      <c r="B36" s="17" t="s">
        <v>193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9"/>
      <c r="B37" s="9" t="s">
        <v>182</v>
      </c>
      <c r="C37" s="9" t="s">
        <v>185</v>
      </c>
      <c r="D37" s="9" t="s">
        <v>194</v>
      </c>
      <c r="E37" s="32" t="s">
        <v>195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4"/>
      <c r="B38" s="4">
        <v>2021.0</v>
      </c>
      <c r="C38" s="19">
        <f t="shared" ref="C38:C40" si="5">E18</f>
        <v>6000000</v>
      </c>
      <c r="D38" s="19">
        <f t="shared" ref="D38:D40" si="6">F31</f>
        <v>6001800</v>
      </c>
      <c r="E38" s="19">
        <f t="shared" ref="E38:E40" si="7">C38-D38</f>
        <v>-1800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4"/>
      <c r="B39" s="4">
        <v>2022.0</v>
      </c>
      <c r="C39" s="19">
        <f t="shared" si="5"/>
        <v>14414285.71</v>
      </c>
      <c r="D39" s="19">
        <f t="shared" si="6"/>
        <v>18700900</v>
      </c>
      <c r="E39" s="19">
        <f t="shared" si="7"/>
        <v>-4286614.286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4"/>
      <c r="B40" s="4">
        <v>2023.0</v>
      </c>
      <c r="C40" s="19">
        <f t="shared" si="5"/>
        <v>16914285.71</v>
      </c>
      <c r="D40" s="19">
        <f t="shared" si="6"/>
        <v>23618900</v>
      </c>
      <c r="E40" s="19">
        <f t="shared" si="7"/>
        <v>-6704614.286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4"/>
      <c r="B41" s="4" t="s">
        <v>196</v>
      </c>
      <c r="C41" s="4"/>
      <c r="D41" s="4"/>
      <c r="E41" s="19">
        <f>sum(E38:E40)</f>
        <v>-10993028.57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7"/>
      <c r="B44" s="17" t="s">
        <v>197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9"/>
      <c r="B45" s="9" t="s">
        <v>182</v>
      </c>
      <c r="C45" s="9" t="s">
        <v>198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4"/>
      <c r="B46" s="4">
        <v>2021.0</v>
      </c>
      <c r="C46" s="19">
        <f t="shared" ref="C46:C48" si="8">E38</f>
        <v>-1800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4"/>
      <c r="B47" s="4">
        <v>2022.0</v>
      </c>
      <c r="C47" s="19">
        <f t="shared" si="8"/>
        <v>-4286614.286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4"/>
      <c r="B48" s="4">
        <v>2023.0</v>
      </c>
      <c r="C48" s="19">
        <f t="shared" si="8"/>
        <v>-6704614.286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7"/>
      <c r="B49" s="24" t="s">
        <v>199</v>
      </c>
      <c r="C49" s="19">
        <f>sum(C46:C48)</f>
        <v>-10993028.57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7.78"/>
    <col customWidth="1" min="3" max="3" width="24.44"/>
    <col customWidth="1" min="4" max="4" width="18.44"/>
    <col customWidth="1" min="5" max="5" width="15.89"/>
    <col customWidth="1" min="6" max="27" width="11.0"/>
  </cols>
  <sheetData>
    <row r="1" ht="15.75" customHeight="1">
      <c r="A1" s="24"/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/>
      <c r="B2" s="3" t="s">
        <v>200</v>
      </c>
    </row>
    <row r="3" ht="15.75" customHeight="1">
      <c r="A3" s="17"/>
      <c r="B3" s="17" t="s">
        <v>201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5.75" customHeight="1">
      <c r="A4" s="4"/>
      <c r="B4" s="4" t="s">
        <v>202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4"/>
      <c r="B5" s="4" t="s">
        <v>203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4"/>
      <c r="B6" s="4" t="s">
        <v>204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4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7"/>
      <c r="B9" s="17" t="s">
        <v>182</v>
      </c>
      <c r="C9" s="17" t="s">
        <v>205</v>
      </c>
      <c r="D9" s="17" t="s">
        <v>206</v>
      </c>
      <c r="E9" s="17" t="s">
        <v>207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15.75" customHeight="1">
      <c r="A10" s="4"/>
      <c r="B10" s="4">
        <v>2021.0</v>
      </c>
      <c r="C10" s="19">
        <f>'2 Book Income Summary'!C3</f>
        <v>245000000</v>
      </c>
      <c r="D10" s="19">
        <f t="shared" ref="D10:D12" si="1">C10+C24</f>
        <v>257000000</v>
      </c>
      <c r="E10" s="19">
        <f t="shared" ref="E10:E12" si="2">D10-C10</f>
        <v>12000000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4"/>
      <c r="B11" s="4">
        <v>2022.0</v>
      </c>
      <c r="C11" s="19">
        <f>'2 Book Income Summary'!C4</f>
        <v>262000000</v>
      </c>
      <c r="D11" s="19">
        <f t="shared" si="1"/>
        <v>271500000</v>
      </c>
      <c r="E11" s="19">
        <f t="shared" si="2"/>
        <v>9500000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4"/>
      <c r="B12" s="4">
        <v>2023.0</v>
      </c>
      <c r="C12" s="19">
        <f>'2 Book Income Summary'!C5</f>
        <v>280000000</v>
      </c>
      <c r="D12" s="19">
        <f t="shared" si="1"/>
        <v>286000000</v>
      </c>
      <c r="E12" s="19">
        <f t="shared" si="2"/>
        <v>6000000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7"/>
      <c r="B13" s="17" t="s">
        <v>196</v>
      </c>
      <c r="C13" s="12"/>
      <c r="D13" s="12"/>
      <c r="E13" s="33">
        <f>SUM(E10:E12)</f>
        <v>27500000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7"/>
      <c r="B19" s="17" t="s">
        <v>208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15.75" customHeight="1">
      <c r="A20" s="4"/>
      <c r="B20" s="4" t="s">
        <v>209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4"/>
      <c r="B21" s="4" t="s">
        <v>210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4"/>
      <c r="B22" s="11" t="s">
        <v>211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7"/>
      <c r="B23" s="17" t="s">
        <v>182</v>
      </c>
      <c r="C23" s="7" t="s">
        <v>212</v>
      </c>
      <c r="D23" s="17" t="s">
        <v>213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ht="15.75" customHeight="1">
      <c r="A24" s="4"/>
      <c r="B24" s="4">
        <v>2021.0</v>
      </c>
      <c r="C24" s="19">
        <v>1.2E7</v>
      </c>
      <c r="D24" s="4" t="s">
        <v>214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4"/>
      <c r="B25" s="4">
        <v>2022.0</v>
      </c>
      <c r="C25" s="19">
        <v>9500000.0</v>
      </c>
      <c r="D25" s="4" t="s">
        <v>215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4"/>
      <c r="B26" s="4">
        <v>2023.0</v>
      </c>
      <c r="C26" s="19">
        <v>6000000.0</v>
      </c>
      <c r="D26" s="26" t="s">
        <v>216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78"/>
    <col customWidth="1" min="2" max="2" width="5.11"/>
    <col customWidth="1" min="3" max="5" width="18.89"/>
    <col customWidth="1" min="6" max="27" width="11.0"/>
  </cols>
  <sheetData>
    <row r="1" ht="15.75" customHeight="1">
      <c r="A1" s="24"/>
      <c r="B1" s="24"/>
      <c r="C1" s="24"/>
      <c r="D1" s="24"/>
      <c r="E1" s="2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/>
      <c r="B2" s="3" t="s">
        <v>182</v>
      </c>
      <c r="C2" s="34" t="s">
        <v>217</v>
      </c>
      <c r="D2" s="34" t="s">
        <v>218</v>
      </c>
      <c r="E2" s="34" t="s">
        <v>147</v>
      </c>
    </row>
    <row r="3" ht="15.75" customHeight="1">
      <c r="A3" s="4"/>
      <c r="B3" s="4">
        <v>2021.0</v>
      </c>
      <c r="C3" s="19">
        <f>'1.1 Trial Balance Summary'!D6</f>
        <v>245000000</v>
      </c>
      <c r="D3" s="19">
        <f>'1.1 Trial Balance Summary'!D14+'1.1 Trial Balance Summary'!C12</f>
        <v>50300000</v>
      </c>
      <c r="E3" s="19">
        <f>'1.1 Trial Balance Summary'!D17</f>
        <v>36600000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4"/>
      <c r="B4" s="4">
        <v>2022.0</v>
      </c>
      <c r="C4" s="19">
        <f>'1.1 Trial Balance Summary'!D24</f>
        <v>262000000</v>
      </c>
      <c r="D4" s="19">
        <f>'1.1 Trial Balance Summary'!D32+'1.1 Trial Balance Summary'!C30</f>
        <v>55000000</v>
      </c>
      <c r="E4" s="19">
        <f>'1.1 Trial Balance Summary'!D35</f>
        <v>31785714.29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4"/>
      <c r="B5" s="4">
        <v>2023.0</v>
      </c>
      <c r="C5" s="19">
        <f>'1.1 Trial Balance Summary'!D42</f>
        <v>280000000</v>
      </c>
      <c r="D5" s="19">
        <f>'1.1 Trial Balance Summary'!D50+'1.1 Trial Balance Summary'!C48</f>
        <v>57900000</v>
      </c>
      <c r="E5" s="19">
        <f>'1.1 Trial Balance Summary'!D53</f>
        <v>29085714.29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11.0"/>
    <col customWidth="1" min="3" max="3" width="16.44"/>
    <col customWidth="1" min="4" max="4" width="23.11"/>
    <col customWidth="1" min="5" max="27" width="11.0"/>
  </cols>
  <sheetData>
    <row r="1" ht="15.75" customHeight="1">
      <c r="A1" s="35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ht="15.75" customHeight="1">
      <c r="A2" s="35"/>
      <c r="B2" s="35" t="s">
        <v>219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7"/>
      <c r="B3" s="7" t="s">
        <v>201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15.75" customHeight="1">
      <c r="A4" s="11"/>
      <c r="B4" s="11" t="s">
        <v>220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5.75" customHeight="1">
      <c r="A5" s="11"/>
      <c r="B5" s="11" t="s">
        <v>221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5.75" customHeight="1">
      <c r="A6" s="37"/>
      <c r="B6" s="37" t="s">
        <v>222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5.75" customHeight="1">
      <c r="A7" s="37"/>
      <c r="B7" s="37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5.7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5.75" customHeight="1">
      <c r="A9" s="7"/>
      <c r="B9" s="7" t="s">
        <v>182</v>
      </c>
      <c r="C9" s="7" t="s">
        <v>185</v>
      </c>
      <c r="D9" s="7" t="s">
        <v>223</v>
      </c>
      <c r="E9" s="38" t="s">
        <v>224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5.75" customHeight="1">
      <c r="A10" s="11"/>
      <c r="B10" s="11">
        <v>2021.0</v>
      </c>
      <c r="C10" s="21">
        <f>'1.4 Fixed Asset Summary'!E18</f>
        <v>6000000</v>
      </c>
      <c r="D10" s="21">
        <f>'1.4 Fixed Asset Summary'!D38</f>
        <v>6001800</v>
      </c>
      <c r="E10" s="21">
        <f t="shared" ref="E10:E12" si="1">C10-D10</f>
        <v>-1800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5.75" customHeight="1">
      <c r="A11" s="11"/>
      <c r="B11" s="11">
        <v>2022.0</v>
      </c>
      <c r="C11" s="21">
        <f>'1.4 Fixed Asset Summary'!E19</f>
        <v>14414285.71</v>
      </c>
      <c r="D11" s="21">
        <f>'1.4 Fixed Asset Summary'!D39</f>
        <v>18700900</v>
      </c>
      <c r="E11" s="21">
        <f t="shared" si="1"/>
        <v>-4286614.286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5.75" customHeight="1">
      <c r="A12" s="11"/>
      <c r="B12" s="11">
        <v>2023.0</v>
      </c>
      <c r="C12" s="21">
        <f>'1.4 Fixed Asset Summary'!E20</f>
        <v>16914285.71</v>
      </c>
      <c r="D12" s="21">
        <f>'1.4 Fixed Asset Summary'!D40</f>
        <v>23618900</v>
      </c>
      <c r="E12" s="21">
        <f t="shared" si="1"/>
        <v>-6704614.286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5.75" customHeight="1">
      <c r="A13" s="7"/>
      <c r="B13" s="7" t="s">
        <v>196</v>
      </c>
      <c r="C13" s="6"/>
      <c r="D13" s="6"/>
      <c r="E13" s="39">
        <f>SUM(E10:E12)</f>
        <v>-10993028.57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15.75" customHeight="1">
      <c r="A15" s="7"/>
      <c r="B15" s="7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15.75" customHeight="1">
      <c r="A16" s="11"/>
      <c r="B16" s="1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15.75" customHeight="1">
      <c r="A17" s="11"/>
      <c r="B17" s="1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15.75" customHeight="1">
      <c r="A18" s="11"/>
      <c r="B18" s="1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3" width="18.67"/>
    <col customWidth="1" min="4" max="4" width="20.22"/>
    <col customWidth="1" min="5" max="5" width="20.56"/>
    <col customWidth="1" min="6" max="6" width="21.0"/>
    <col customWidth="1" min="7" max="7" width="20.22"/>
    <col customWidth="1" min="8" max="8" width="12.44"/>
    <col customWidth="1" min="9" max="9" width="13.0"/>
    <col customWidth="1" min="10" max="29" width="11.0"/>
  </cols>
  <sheetData>
    <row r="1" ht="15.75" customHeight="1">
      <c r="A1" s="35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ht="15.75" customHeight="1">
      <c r="A2" s="35"/>
      <c r="B2" s="35" t="s">
        <v>225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ht="15.75" customHeight="1">
      <c r="A3" s="7"/>
      <c r="B3" s="7" t="s">
        <v>201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ht="15.75" customHeight="1">
      <c r="A4" s="11"/>
      <c r="B4" s="11" t="s">
        <v>226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ht="15.75" customHeight="1">
      <c r="A5" s="11"/>
      <c r="B5" s="11" t="s">
        <v>227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 ht="15.75" customHeight="1">
      <c r="A6" s="11"/>
      <c r="B6" s="1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 ht="15.75" customHeight="1">
      <c r="A7" s="11"/>
      <c r="B7" s="1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 ht="15.75" customHeight="1">
      <c r="A8" s="7"/>
      <c r="B8" s="7" t="s">
        <v>182</v>
      </c>
      <c r="C8" s="40" t="s">
        <v>147</v>
      </c>
      <c r="D8" s="41" t="s">
        <v>228</v>
      </c>
      <c r="E8" s="41" t="s">
        <v>229</v>
      </c>
      <c r="F8" s="41" t="s">
        <v>230</v>
      </c>
      <c r="G8" s="41" t="s">
        <v>231</v>
      </c>
      <c r="H8" s="41" t="s">
        <v>232</v>
      </c>
      <c r="I8" s="41" t="s">
        <v>233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ht="15.75" customHeight="1">
      <c r="A9" s="11"/>
      <c r="B9" s="42">
        <v>2021.0</v>
      </c>
      <c r="C9" s="21">
        <f>'2 Book Income Summary'!E3</f>
        <v>36600000</v>
      </c>
      <c r="D9" s="21">
        <f>'1.2 BookTax Tie-out'!C6+'1.2 BookTax Tie-out'!C7</f>
        <v>-600000</v>
      </c>
      <c r="E9" s="21">
        <f t="shared" ref="E9:E11" si="1">C9+D9</f>
        <v>36000000</v>
      </c>
      <c r="F9" s="21">
        <f>'3 Revenue Timing Adjustments '!E10</f>
        <v>12000000</v>
      </c>
      <c r="G9" s="21">
        <f>'4 Depreciation Adjustment'!E10</f>
        <v>-1800</v>
      </c>
      <c r="H9" s="21">
        <f t="shared" ref="H9:H11" si="2">SUM(F9:G9)</f>
        <v>11998200</v>
      </c>
      <c r="I9" s="21">
        <f t="shared" ref="I9:I11" si="3">E9+H9</f>
        <v>47998200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 ht="15.75" customHeight="1">
      <c r="A10" s="11"/>
      <c r="B10" s="42">
        <v>2022.0</v>
      </c>
      <c r="C10" s="21">
        <f>'2 Book Income Summary'!E4</f>
        <v>31785714.29</v>
      </c>
      <c r="D10" s="21">
        <f>'1.2 BookTax Tie-out'!C18+'1.2 BookTax Tie-out'!C19</f>
        <v>-660000</v>
      </c>
      <c r="E10" s="21">
        <f t="shared" si="1"/>
        <v>31125714.29</v>
      </c>
      <c r="F10" s="21">
        <f>'3 Revenue Timing Adjustments '!E11</f>
        <v>9500000</v>
      </c>
      <c r="G10" s="21">
        <f>'4 Depreciation Adjustment'!E11</f>
        <v>-4286614.286</v>
      </c>
      <c r="H10" s="21">
        <f t="shared" si="2"/>
        <v>5213385.714</v>
      </c>
      <c r="I10" s="21">
        <f t="shared" si="3"/>
        <v>36339100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 ht="15.75" customHeight="1">
      <c r="A11" s="11"/>
      <c r="B11" s="42">
        <v>2023.0</v>
      </c>
      <c r="C11" s="21">
        <f>'2 Book Income Summary'!E5</f>
        <v>29085714.29</v>
      </c>
      <c r="D11" s="21">
        <f>'1.2 BookTax Tie-out'!C30+'1.2 BookTax Tie-out'!C31</f>
        <v>-690000</v>
      </c>
      <c r="E11" s="21">
        <f t="shared" si="1"/>
        <v>28395714.29</v>
      </c>
      <c r="F11" s="21">
        <f>'3 Revenue Timing Adjustments '!E12</f>
        <v>6000000</v>
      </c>
      <c r="G11" s="21">
        <f>'4 Depreciation Adjustment'!E12</f>
        <v>-6704614.286</v>
      </c>
      <c r="H11" s="21">
        <f t="shared" si="2"/>
        <v>-704614.2857</v>
      </c>
      <c r="I11" s="21">
        <f t="shared" si="3"/>
        <v>27691100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ht="15.75" customHeight="1">
      <c r="A12" s="7"/>
      <c r="B12" s="7" t="s">
        <v>196</v>
      </c>
      <c r="C12" s="6"/>
      <c r="D12" s="6"/>
      <c r="E12" s="6"/>
      <c r="F12" s="6"/>
      <c r="G12" s="6"/>
      <c r="H12" s="39">
        <f t="shared" ref="H12:I12" si="4">SUM(H9:H11)</f>
        <v>16506971.43</v>
      </c>
      <c r="I12" s="39">
        <f t="shared" si="4"/>
        <v>112028400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ht="15.75" customHeight="1">
      <c r="A19" s="22"/>
      <c r="B19" s="7"/>
      <c r="C19" s="41"/>
      <c r="D19" s="41"/>
      <c r="E19" s="41"/>
      <c r="F19" s="41"/>
      <c r="G19" s="41"/>
      <c r="H19" s="41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 ht="15.75" customHeight="1">
      <c r="A20" s="22"/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ht="15.75" customHeight="1">
      <c r="A21" s="22"/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 ht="15.75" customHeight="1">
      <c r="A22" s="22"/>
      <c r="B22" s="4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 ht="15.75" customHeight="1">
      <c r="A23" s="22"/>
      <c r="B23" s="7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</row>
    <row r="1001" ht="15.7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22"/>
    <col customWidth="1" min="2" max="2" width="19.11"/>
    <col customWidth="1" min="3" max="3" width="12.44"/>
    <col customWidth="1" min="4" max="4" width="7.78"/>
    <col customWidth="1" min="5" max="5" width="20.67"/>
    <col customWidth="1" min="6" max="6" width="15.33"/>
    <col customWidth="1" min="7" max="7" width="11.0"/>
    <col customWidth="1" min="8" max="8" width="18.33"/>
    <col customWidth="1" min="9" max="9" width="18.78"/>
    <col customWidth="1" min="10" max="11" width="17.44"/>
    <col customWidth="1" min="12" max="29" width="11.0"/>
  </cols>
  <sheetData>
    <row r="1" ht="15.75" customHeight="1">
      <c r="A1" s="24"/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3"/>
      <c r="B2" s="3" t="s">
        <v>234</v>
      </c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7"/>
      <c r="B4" s="17" t="s">
        <v>182</v>
      </c>
      <c r="C4" s="43" t="s">
        <v>232</v>
      </c>
      <c r="D4" s="43" t="s">
        <v>235</v>
      </c>
      <c r="E4" s="40" t="s">
        <v>236</v>
      </c>
      <c r="F4" s="44" t="s">
        <v>237</v>
      </c>
      <c r="G4" s="44" t="s">
        <v>238</v>
      </c>
      <c r="H4" s="45" t="s">
        <v>239</v>
      </c>
      <c r="I4" s="45" t="s">
        <v>240</v>
      </c>
      <c r="J4" s="45" t="s">
        <v>241</v>
      </c>
      <c r="K4" s="45" t="s">
        <v>242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5.75" customHeight="1">
      <c r="A5" s="4"/>
      <c r="B5" s="4">
        <v>2021.0</v>
      </c>
      <c r="C5" s="19">
        <f>'5 Taxable Income Bridge'!H9</f>
        <v>11998200</v>
      </c>
      <c r="D5" s="27">
        <f>'1 Control &amp; Assumptions'!C71</f>
        <v>0.21</v>
      </c>
      <c r="E5" s="19">
        <f t="shared" ref="E5:E7" si="1">C5*D5</f>
        <v>2519622</v>
      </c>
      <c r="F5" s="22">
        <v>3.0</v>
      </c>
      <c r="G5" s="21">
        <f>E5*'1 Control &amp; Assumptions'!$C$73</f>
        <v>75588.66</v>
      </c>
      <c r="H5" s="21">
        <f>E5</f>
        <v>2519622</v>
      </c>
      <c r="I5" s="21">
        <f>E5*'1 Control &amp; Assumptions'!$C$73</f>
        <v>75588.66</v>
      </c>
      <c r="J5" s="25">
        <v>0.0</v>
      </c>
      <c r="K5" s="46">
        <f>J5</f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5.75" customHeight="1">
      <c r="A6" s="4"/>
      <c r="B6" s="4">
        <v>2022.0</v>
      </c>
      <c r="C6" s="19">
        <f>'5 Taxable Income Bridge'!H10</f>
        <v>5213385.714</v>
      </c>
      <c r="D6" s="27">
        <f t="shared" ref="D6:D7" si="2">D5</f>
        <v>0.21</v>
      </c>
      <c r="E6" s="19">
        <f t="shared" si="1"/>
        <v>1094811</v>
      </c>
      <c r="F6" s="22">
        <v>2.0</v>
      </c>
      <c r="G6" s="21">
        <f>E6*'1 Control &amp; Assumptions'!$C$73</f>
        <v>32844.33</v>
      </c>
      <c r="H6" s="21">
        <f t="shared" ref="H6:H7" si="3">H5+E6</f>
        <v>3614433</v>
      </c>
      <c r="I6" s="21">
        <f t="shared" ref="I6:I7" si="4">I5+G6</f>
        <v>108432.99</v>
      </c>
      <c r="J6" s="21">
        <f>(H5+I5+K5)*'1 Control &amp; Assumptions'!$C$74</f>
        <v>155712.6396</v>
      </c>
      <c r="K6" s="46">
        <f t="shared" ref="K6:K8" si="5">K5+J6</f>
        <v>155712.6396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75" customHeight="1">
      <c r="A7" s="4"/>
      <c r="B7" s="4">
        <v>2023.0</v>
      </c>
      <c r="C7" s="19">
        <f>'5 Taxable Income Bridge'!H11</f>
        <v>-704614.2857</v>
      </c>
      <c r="D7" s="27">
        <f t="shared" si="2"/>
        <v>0.21</v>
      </c>
      <c r="E7" s="19">
        <f t="shared" si="1"/>
        <v>-147969</v>
      </c>
      <c r="F7" s="22">
        <v>1.0</v>
      </c>
      <c r="G7" s="21">
        <f>if(E7*'1 Control &amp; Assumptions'!$C$73&lt;0,0)</f>
        <v>0</v>
      </c>
      <c r="H7" s="21">
        <f t="shared" si="3"/>
        <v>3466464</v>
      </c>
      <c r="I7" s="21">
        <f t="shared" si="4"/>
        <v>108432.99</v>
      </c>
      <c r="J7" s="21">
        <f>(H6+I6+K6)*'1 Control &amp; Assumptions'!$C$74</f>
        <v>232714.7178</v>
      </c>
      <c r="K7" s="46">
        <f t="shared" si="5"/>
        <v>388427.3574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75" customHeight="1">
      <c r="A8" s="17"/>
      <c r="B8" s="17" t="s">
        <v>196</v>
      </c>
      <c r="C8" s="12"/>
      <c r="D8" s="12"/>
      <c r="E8" s="33"/>
      <c r="F8" s="22"/>
      <c r="G8" s="33"/>
      <c r="H8" s="33"/>
      <c r="I8" s="33"/>
      <c r="J8" s="21">
        <f>(H7+I7+K7)*'1 Control &amp; Assumptions'!$C$74</f>
        <v>237799.4608</v>
      </c>
      <c r="K8" s="46">
        <f t="shared" si="5"/>
        <v>626226.8182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2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67"/>
    <col customWidth="1" min="2" max="2" width="16.89"/>
    <col customWidth="1" min="3" max="3" width="12.44"/>
    <col customWidth="1" min="4" max="4" width="8.89"/>
    <col customWidth="1" min="5" max="5" width="20.67"/>
    <col customWidth="1" min="6" max="6" width="14.0"/>
    <col customWidth="1" min="7" max="7" width="11.0"/>
    <col customWidth="1" min="8" max="8" width="18.33"/>
    <col customWidth="1" min="9" max="9" width="18.78"/>
    <col customWidth="1" min="10" max="10" width="9.11"/>
    <col customWidth="1" min="11" max="11" width="17.44"/>
    <col customWidth="1" min="12" max="27" width="11.0"/>
  </cols>
  <sheetData>
    <row r="1" ht="15.75" customHeight="1">
      <c r="A1" s="13"/>
      <c r="B1" s="1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13"/>
      <c r="B2" s="35" t="s">
        <v>243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15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15.75" customHeight="1">
      <c r="A4" s="13"/>
      <c r="B4" s="7" t="s">
        <v>182</v>
      </c>
      <c r="C4" s="40" t="s">
        <v>232</v>
      </c>
      <c r="D4" s="40" t="s">
        <v>244</v>
      </c>
      <c r="E4" s="40" t="s">
        <v>236</v>
      </c>
      <c r="F4" s="44" t="s">
        <v>237</v>
      </c>
      <c r="G4" s="44" t="s">
        <v>238</v>
      </c>
      <c r="H4" s="45" t="s">
        <v>239</v>
      </c>
      <c r="I4" s="45" t="s">
        <v>240</v>
      </c>
      <c r="J4" s="45" t="s">
        <v>241</v>
      </c>
      <c r="K4" s="45" t="s">
        <v>242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5.75" customHeight="1">
      <c r="A5" s="11"/>
      <c r="B5" s="42">
        <v>2021.0</v>
      </c>
      <c r="C5" s="21">
        <f>'5 Taxable Income Bridge'!H9</f>
        <v>11998200</v>
      </c>
      <c r="D5" s="47">
        <f>'1 Control &amp; Assumptions'!C72</f>
        <v>0.065</v>
      </c>
      <c r="E5" s="21">
        <f t="shared" ref="E5:E7" si="1">C5*D5</f>
        <v>779883</v>
      </c>
      <c r="F5" s="22">
        <v>3.0</v>
      </c>
      <c r="G5" s="21">
        <f>E5*'1 Control &amp; Assumptions'!$C$73</f>
        <v>23396.49</v>
      </c>
      <c r="H5" s="21">
        <f>E5</f>
        <v>779883</v>
      </c>
      <c r="I5" s="21">
        <f>E5*'1 Control &amp; Assumptions'!$C$73</f>
        <v>23396.49</v>
      </c>
      <c r="J5" s="25">
        <v>0.0</v>
      </c>
      <c r="K5" s="46">
        <f>J5</f>
        <v>0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5.75" customHeight="1">
      <c r="A6" s="11"/>
      <c r="B6" s="42">
        <v>2022.0</v>
      </c>
      <c r="C6" s="21">
        <f>'5 Taxable Income Bridge'!H10</f>
        <v>5213385.714</v>
      </c>
      <c r="D6" s="47">
        <f t="shared" ref="D6:D7" si="2">D5</f>
        <v>0.065</v>
      </c>
      <c r="E6" s="21">
        <f t="shared" si="1"/>
        <v>338870.0714</v>
      </c>
      <c r="F6" s="22">
        <v>2.0</v>
      </c>
      <c r="G6" s="21">
        <f>E6*'1 Control &amp; Assumptions'!$C$73</f>
        <v>10166.10214</v>
      </c>
      <c r="H6" s="21">
        <f t="shared" ref="H6:H7" si="3">H5+E6</f>
        <v>1118753.071</v>
      </c>
      <c r="I6" s="21">
        <f t="shared" ref="I6:I7" si="4">I5+G6</f>
        <v>33562.59214</v>
      </c>
      <c r="J6" s="21">
        <f>(H5+I5+K5)*'1 Control &amp; Assumptions'!$C$75</f>
        <v>36147.57705</v>
      </c>
      <c r="K6" s="46">
        <f t="shared" ref="K6:K8" si="5">K5+J6</f>
        <v>36147.57705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5.75" customHeight="1">
      <c r="A7" s="11"/>
      <c r="B7" s="42">
        <v>2023.0</v>
      </c>
      <c r="C7" s="21">
        <f>'5 Taxable Income Bridge'!H11</f>
        <v>-704614.2857</v>
      </c>
      <c r="D7" s="47">
        <f t="shared" si="2"/>
        <v>0.065</v>
      </c>
      <c r="E7" s="21">
        <f t="shared" si="1"/>
        <v>-45799.92857</v>
      </c>
      <c r="F7" s="22">
        <v>1.0</v>
      </c>
      <c r="G7" s="21">
        <f>if(E7*'1 Control &amp; Assumptions'!$C$73&lt;0,0)</f>
        <v>0</v>
      </c>
      <c r="H7" s="21">
        <f t="shared" si="3"/>
        <v>1072953.143</v>
      </c>
      <c r="I7" s="21">
        <f t="shared" si="4"/>
        <v>33562.59214</v>
      </c>
      <c r="J7" s="21">
        <f>(H6+I6+K6)*'1 Control &amp; Assumptions'!$C$75</f>
        <v>53480.84583</v>
      </c>
      <c r="K7" s="46">
        <f t="shared" si="5"/>
        <v>89628.42288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5.75" customHeight="1">
      <c r="A8" s="13"/>
      <c r="B8" s="7" t="s">
        <v>196</v>
      </c>
      <c r="C8" s="6"/>
      <c r="D8" s="6"/>
      <c r="E8" s="39">
        <f>SUM(E5:E7)</f>
        <v>1072953.143</v>
      </c>
      <c r="F8" s="22"/>
      <c r="G8" s="33"/>
      <c r="H8" s="33"/>
      <c r="I8" s="33"/>
      <c r="J8" s="21">
        <f>(H7+I7+K7)*'1 Control &amp; Assumptions'!$C$75</f>
        <v>53826.4871</v>
      </c>
      <c r="K8" s="46">
        <f t="shared" si="5"/>
        <v>143454.91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5.75" customHeight="1">
      <c r="A9" s="22"/>
      <c r="B9" s="22"/>
      <c r="C9" s="22"/>
      <c r="D9" s="22"/>
      <c r="E9" s="22"/>
      <c r="F9" s="22"/>
      <c r="G9" s="22"/>
      <c r="H9" s="1"/>
      <c r="I9" s="1"/>
      <c r="J9" s="1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5.75" customHeight="1">
      <c r="A10" s="22"/>
      <c r="B10" s="22"/>
      <c r="C10" s="22"/>
      <c r="D10" s="22"/>
      <c r="E10" s="22"/>
      <c r="F10" s="22"/>
      <c r="G10" s="22"/>
      <c r="H10" s="1"/>
      <c r="I10" s="1"/>
      <c r="J10" s="1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5.7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5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27.22"/>
    <col customWidth="1" min="3" max="5" width="13.78"/>
    <col customWidth="1" min="6" max="6" width="2.11"/>
    <col customWidth="1" min="7" max="26" width="11.0"/>
  </cols>
  <sheetData>
    <row r="1" ht="15.75" customHeight="1">
      <c r="A1" s="13"/>
      <c r="B1" s="1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>
      <c r="A2" s="35"/>
      <c r="B2" s="35" t="s">
        <v>245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5.75" customHeight="1">
      <c r="A4" s="7"/>
      <c r="B4" s="7" t="s">
        <v>246</v>
      </c>
      <c r="C4" s="40" t="s">
        <v>247</v>
      </c>
      <c r="D4" s="40" t="s">
        <v>241</v>
      </c>
      <c r="E4" s="40" t="s">
        <v>238</v>
      </c>
      <c r="F4" s="15"/>
      <c r="G4" s="40"/>
      <c r="H4" s="40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.75" customHeight="1">
      <c r="A5" s="11"/>
      <c r="B5" s="11" t="s">
        <v>248</v>
      </c>
      <c r="C5" s="21">
        <f>'6 Federal Tax Exposure'!H7</f>
        <v>3466464</v>
      </c>
      <c r="D5" s="21">
        <f>'6 Federal Tax Exposure'!K8</f>
        <v>626226.8182</v>
      </c>
      <c r="E5" s="21">
        <f>'6 Federal Tax Exposure'!I7</f>
        <v>108432.99</v>
      </c>
      <c r="F5" s="22"/>
      <c r="G5" s="48"/>
      <c r="H5" s="48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11"/>
      <c r="B6" s="11" t="s">
        <v>249</v>
      </c>
      <c r="C6" s="21">
        <f>'7 State Tax Exposure'!H7</f>
        <v>1072953.143</v>
      </c>
      <c r="D6" s="21">
        <f>'7 State Tax Exposure'!K8</f>
        <v>143454.91</v>
      </c>
      <c r="E6" s="21">
        <f>'7 State Tax Exposure'!I7</f>
        <v>33562.59214</v>
      </c>
      <c r="F6" s="22"/>
      <c r="G6" s="48"/>
      <c r="H6" s="48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5.75" customHeight="1">
      <c r="A7" s="13"/>
      <c r="B7" s="7" t="s">
        <v>196</v>
      </c>
      <c r="C7" s="39">
        <f t="shared" ref="C7:E7" si="1">SUM(C5:C6)</f>
        <v>4539417.143</v>
      </c>
      <c r="D7" s="39">
        <f t="shared" si="1"/>
        <v>769681.7282</v>
      </c>
      <c r="E7" s="39">
        <f t="shared" si="1"/>
        <v>141995.5821</v>
      </c>
      <c r="F7" s="22"/>
      <c r="G7" s="49"/>
      <c r="H7" s="49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5.7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5.75" customHeight="1">
      <c r="A11" s="22"/>
      <c r="B11" s="22"/>
      <c r="C11" s="22"/>
      <c r="D11" s="22"/>
      <c r="E11" s="50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5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44"/>
    <col customWidth="1" min="2" max="3" width="15.78"/>
    <col customWidth="1" min="4" max="27" width="11.0"/>
  </cols>
  <sheetData>
    <row r="1" ht="15.75" customHeight="1">
      <c r="A1" s="13"/>
      <c r="B1" s="1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ht="15.75" customHeight="1">
      <c r="A2" s="35"/>
      <c r="B2" s="35" t="s">
        <v>250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ht="15.7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15.75" customHeight="1">
      <c r="A4" s="7"/>
      <c r="B4" s="7" t="s">
        <v>55</v>
      </c>
      <c r="C4" s="40" t="s">
        <v>120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15.75" customHeight="1">
      <c r="A5" s="11"/>
      <c r="B5" s="11" t="s">
        <v>251</v>
      </c>
      <c r="C5" s="21">
        <f>'8 Penalties &amp; Interest'!C5</f>
        <v>3466464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5.75" customHeight="1">
      <c r="A6" s="11"/>
      <c r="B6" s="11" t="s">
        <v>252</v>
      </c>
      <c r="C6" s="21">
        <f>'8 Penalties &amp; Interest'!C6</f>
        <v>1072953.143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5.75" customHeight="1">
      <c r="A7" s="11"/>
      <c r="B7" s="11" t="s">
        <v>238</v>
      </c>
      <c r="C7" s="21">
        <f>'8 Penalties &amp; Interest'!E7</f>
        <v>141995.5821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5.75" customHeight="1">
      <c r="A8" s="11"/>
      <c r="B8" s="11" t="s">
        <v>241</v>
      </c>
      <c r="C8" s="21">
        <f>'8 Penalties &amp; Interest'!D7</f>
        <v>769681.7282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5.75" customHeight="1">
      <c r="A9" s="7"/>
      <c r="B9" s="7" t="s">
        <v>253</v>
      </c>
      <c r="C9" s="39">
        <f>SUM(C5:C8)</f>
        <v>5451094.453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5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5.7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5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5.7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15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 ht="15.7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.67"/>
    <col customWidth="1" min="2" max="2" width="30.56"/>
    <col customWidth="1" min="3" max="3" width="19.11"/>
    <col customWidth="1" min="4" max="27" width="11.0"/>
  </cols>
  <sheetData>
    <row r="1" ht="15.75" customHeight="1">
      <c r="A1" s="24"/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/>
      <c r="B2" s="3" t="s">
        <v>254</v>
      </c>
    </row>
    <row r="3" ht="15.75" customHeight="1">
      <c r="A3" s="24"/>
      <c r="B3" s="2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7"/>
      <c r="B4" s="17" t="s">
        <v>255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5.75" customHeight="1">
      <c r="A5" s="17"/>
      <c r="B5" s="17" t="s">
        <v>119</v>
      </c>
      <c r="C5" s="43" t="s">
        <v>120</v>
      </c>
      <c r="D5" s="10"/>
      <c r="E5" s="10"/>
      <c r="F5" s="1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15.75" customHeight="1">
      <c r="A6" s="4"/>
      <c r="B6" s="11" t="s">
        <v>256</v>
      </c>
      <c r="C6" s="19">
        <f>'3 Revenue Timing Adjustments '!E13</f>
        <v>27500000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4"/>
      <c r="B7" s="11" t="s">
        <v>257</v>
      </c>
      <c r="C7" s="19">
        <f>'4 Depreciation Adjustment'!E13</f>
        <v>-10993028.57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4"/>
      <c r="B8" s="11" t="s">
        <v>258</v>
      </c>
      <c r="C8" s="19">
        <f>SUM(C6:C7)</f>
        <v>16506971.43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4"/>
      <c r="B9" s="4" t="s">
        <v>259</v>
      </c>
      <c r="C9" s="19">
        <f>C8*'1 Control &amp; Assumptions'!C71</f>
        <v>3466464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4"/>
      <c r="B10" s="4" t="s">
        <v>260</v>
      </c>
      <c r="C10" s="19">
        <f>C8*'1 Control &amp; Assumptions'!C72</f>
        <v>1072953.143</v>
      </c>
      <c r="D10" s="1"/>
      <c r="E10" s="1"/>
      <c r="F10" s="1"/>
      <c r="G10" s="2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24"/>
      <c r="B11" s="13" t="s">
        <v>261</v>
      </c>
      <c r="C11" s="51">
        <f>SUM(C9:C10)</f>
        <v>4539417.143</v>
      </c>
      <c r="D11" s="1"/>
      <c r="E11" s="1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4"/>
      <c r="B12" s="4" t="s">
        <v>262</v>
      </c>
      <c r="C12" s="19">
        <f>'1 Control &amp; Assumptions'!C86</f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24"/>
      <c r="B13" s="52" t="s">
        <v>263</v>
      </c>
      <c r="C13" s="51">
        <f>C11-C12</f>
        <v>4539417.143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7"/>
      <c r="B16" s="17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15.75" customHeight="1">
      <c r="A17" s="24"/>
      <c r="B17" s="53"/>
      <c r="C17" s="4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4"/>
      <c r="B18" s="54"/>
      <c r="C18" s="1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4"/>
      <c r="B19" s="4"/>
      <c r="C19" s="1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24"/>
      <c r="B20" s="17"/>
      <c r="C20" s="5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2026-01-22T20:37:33Z</dcterms:created>
  <dc:creator>Matt Bosley</dc:creator>
</cp:coreProperties>
</file>